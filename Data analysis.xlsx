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3. Visual Search\data\"/>
    </mc:Choice>
  </mc:AlternateContent>
  <xr:revisionPtr revIDLastSave="0" documentId="8_{CEF1AA6B-8864-4054-B86A-53F343166ACD}" xr6:coauthVersionLast="47" xr6:coauthVersionMax="47" xr10:uidLastSave="{00000000-0000-0000-0000-000000000000}"/>
  <bookViews>
    <workbookView xWindow="-120" yWindow="-120" windowWidth="20730" windowHeight="11040" xr2:uid="{E8A67ED6-AA86-4C55-AF50-AF0253EC68D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8" i="1"/>
  <c r="E11" i="1"/>
  <c r="E10" i="1"/>
  <c r="E13" i="1"/>
  <c r="E12" i="1"/>
</calcChain>
</file>

<file path=xl/sharedStrings.xml><?xml version="1.0" encoding="utf-8"?>
<sst xmlns="http://schemas.openxmlformats.org/spreadsheetml/2006/main" count="13" uniqueCount="13">
  <si>
    <t>set size</t>
  </si>
  <si>
    <t>p1</t>
  </si>
  <si>
    <t>p2</t>
  </si>
  <si>
    <t>p3</t>
  </si>
  <si>
    <t>p4</t>
  </si>
  <si>
    <t>p5</t>
  </si>
  <si>
    <t>slope ms/item</t>
  </si>
  <si>
    <t>mean for 5 across participants</t>
  </si>
  <si>
    <t>mean for 10 across participants</t>
  </si>
  <si>
    <t>std dev for 5</t>
  </si>
  <si>
    <t>std dev for 10</t>
  </si>
  <si>
    <t>std error 5</t>
  </si>
  <si>
    <t>std error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</si>
</sst>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0" xfId="1" applyFont="1"/>
    <xf numFmtId="0" fontId="1" fillId="2" borderId="0" xfId="1"/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RT by set size (across participants)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</c:v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'[1]participant 5_visual search tas'!$N$5:$R$5</c:f>
              <c:numCache>
                <c:formatCode>General</c:formatCode>
                <c:ptCount val="5"/>
                <c:pt idx="0">
                  <c:v>1747.16</c:v>
                </c:pt>
                <c:pt idx="1">
                  <c:v>1596.45</c:v>
                </c:pt>
                <c:pt idx="2">
                  <c:v>1517.04</c:v>
                </c:pt>
                <c:pt idx="3">
                  <c:v>1509.96</c:v>
                </c:pt>
                <c:pt idx="4">
                  <c:v>1437.14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6-43FB-81D8-1F65C3AD19BB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8288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'[1]participant 5_visual search tas'!$N$6:$R$6</c:f>
              <c:numCache>
                <c:formatCode>General</c:formatCode>
                <c:ptCount val="5"/>
                <c:pt idx="0">
                  <c:v>1961.43</c:v>
                </c:pt>
                <c:pt idx="1">
                  <c:v>1812.37</c:v>
                </c:pt>
                <c:pt idx="2">
                  <c:v>1925.9</c:v>
                </c:pt>
                <c:pt idx="3">
                  <c:v>1732.46</c:v>
                </c:pt>
                <c:pt idx="4">
                  <c:v>1658.29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6-43FB-81D8-1F65C3AD19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4491375"/>
        <c:axId val="874481391"/>
      </c:lineChart>
      <c:catAx>
        <c:axId val="874491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1391"/>
        <c:crosses val="autoZero"/>
        <c:auto val="1"/>
        <c:lblAlgn val="ctr"/>
        <c:lblOffset val="100"/>
        <c:noMultiLvlLbl val="0"/>
      </c:catAx>
      <c:valAx>
        <c:axId val="87448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RT (ms)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2</xdr:row>
      <xdr:rowOff>19050</xdr:rowOff>
    </xdr:from>
    <xdr:to>
      <xdr:col>16</xdr:col>
      <xdr:colOff>561975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C976A-A15A-44E3-AE2A-5FEAA6359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5_visual%20sear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nt 5_visual search tas"/>
    </sheetNames>
    <sheetDataSet>
      <sheetData sheetId="0">
        <row r="5">
          <cell r="N5">
            <v>1747.16</v>
          </cell>
          <cell r="O5">
            <v>1596.45</v>
          </cell>
          <cell r="P5">
            <v>1517.04</v>
          </cell>
          <cell r="Q5">
            <v>1509.96</v>
          </cell>
          <cell r="R5">
            <v>1437.14</v>
          </cell>
        </row>
        <row r="6">
          <cell r="N6">
            <v>1961.43</v>
          </cell>
          <cell r="O6">
            <v>1812.37</v>
          </cell>
          <cell r="P6">
            <v>1925.9</v>
          </cell>
          <cell r="Q6">
            <v>1732.46</v>
          </cell>
          <cell r="R6">
            <v>1658.29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75B44-6EAC-4601-8F64-8AC2EA74C820}" name="Table1" displayName="Table1" ref="C3:H5" totalsRowShown="0">
  <autoFilter ref="C3:H5" xr:uid="{6A975B44-6EAC-4601-8F64-8AC2EA74C820}"/>
  <tableColumns count="6">
    <tableColumn id="1" xr3:uid="{9C5B07A8-653E-458B-AE56-796E90D5BBD7}" name="set size"/>
    <tableColumn id="2" xr3:uid="{B7757C5D-68AA-4DBF-BBD1-8C6002E5FAD4}" name="p1"/>
    <tableColumn id="3" xr3:uid="{0EE07571-9A96-4A1A-BDDB-DFF05F542A71}" name="p2"/>
    <tableColumn id="4" xr3:uid="{0D4FA8D4-757D-43CF-844C-EBC3F36F0B3F}" name="p3"/>
    <tableColumn id="5" xr3:uid="{32E9936E-C7FB-40CE-838F-B17779AB15C5}" name="p4"/>
    <tableColumn id="6" xr3:uid="{CFEC319B-071A-43F0-90A4-82A9B51EEB1C}" name="p5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A0E0-2B15-4D0A-9AE2-7B779B144D72}">
  <dimension ref="C3:H13"/>
  <sheetViews>
    <sheetView tabSelected="1" workbookViewId="0">
      <selection activeCell="S6" sqref="S6"/>
    </sheetView>
  </sheetViews>
  <sheetFormatPr defaultRowHeight="15" x14ac:dyDescent="0.25"/>
  <sheetData>
    <row r="3" spans="3:8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3:8" x14ac:dyDescent="0.25">
      <c r="C4">
        <v>5</v>
      </c>
      <c r="D4">
        <v>1747.16</v>
      </c>
      <c r="E4">
        <v>1596.45</v>
      </c>
      <c r="F4">
        <v>1517.04</v>
      </c>
      <c r="G4">
        <v>1509.96</v>
      </c>
      <c r="H4">
        <v>1437.14</v>
      </c>
    </row>
    <row r="5" spans="3:8" x14ac:dyDescent="0.25">
      <c r="C5">
        <v>10</v>
      </c>
      <c r="D5">
        <v>1961.43</v>
      </c>
      <c r="E5">
        <v>1812.37</v>
      </c>
      <c r="F5">
        <v>1925.9</v>
      </c>
      <c r="G5">
        <v>1732.46</v>
      </c>
      <c r="H5">
        <v>1658.29</v>
      </c>
    </row>
    <row r="6" spans="3:8" x14ac:dyDescent="0.25">
      <c r="C6" s="1" t="s">
        <v>6</v>
      </c>
      <c r="D6" s="2">
        <v>42.85</v>
      </c>
      <c r="E6" s="2">
        <v>43.18</v>
      </c>
      <c r="F6" s="2">
        <v>81.77</v>
      </c>
      <c r="G6" s="2">
        <v>44.49</v>
      </c>
      <c r="H6" s="2">
        <v>44.22</v>
      </c>
    </row>
    <row r="8" spans="3:8" x14ac:dyDescent="0.25">
      <c r="C8" t="s">
        <v>7</v>
      </c>
      <c r="F8">
        <f>AVERAGE(B4:H4)</f>
        <v>1302.125</v>
      </c>
    </row>
    <row r="9" spans="3:8" x14ac:dyDescent="0.25">
      <c r="C9" t="s">
        <v>8</v>
      </c>
      <c r="F9">
        <f>AVERAGE(B5:H5)</f>
        <v>1516.7416666666668</v>
      </c>
    </row>
    <row r="10" spans="3:8" x14ac:dyDescent="0.25">
      <c r="C10" t="s">
        <v>9</v>
      </c>
      <c r="E10">
        <f>_xlfn.STDEV.S(B4:H4)</f>
        <v>644.17847172192887</v>
      </c>
    </row>
    <row r="11" spans="3:8" x14ac:dyDescent="0.25">
      <c r="C11" t="s">
        <v>10</v>
      </c>
      <c r="E11">
        <f>_xlfn.STDEV.S(B5:H5)</f>
        <v>746.91299989802417</v>
      </c>
    </row>
    <row r="12" spans="3:8" x14ac:dyDescent="0.25">
      <c r="C12" t="s">
        <v>11</v>
      </c>
      <c r="E12">
        <f>E10/SQRT(5)</f>
        <v>288.08537048243176</v>
      </c>
    </row>
    <row r="13" spans="3:8" x14ac:dyDescent="0.25">
      <c r="C13" t="s">
        <v>12</v>
      </c>
      <c r="E13">
        <f>E11/SQRT(5)</f>
        <v>334.02964821005509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2025-09-30T05:20:37Z</dcterms:created>
  <dcterms:modified xsi:type="dcterms:W3CDTF">2025-09-30T05:22:49Z</dcterms:modified>
</cp:coreProperties>
</file>