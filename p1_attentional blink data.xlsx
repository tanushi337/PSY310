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8. Solo Project\data\"/>
    </mc:Choice>
  </mc:AlternateContent>
  <xr:revisionPtr revIDLastSave="0" documentId="13_ncr:1_{4A6E1E35-D845-4948-91FC-34481293F4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1_attentional blink" sheetId="1" r:id="rId1"/>
    <sheet name="table" sheetId="4" r:id="rId2"/>
    <sheet name="graph" sheetId="6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1" l="1"/>
  <c r="L11" i="1"/>
  <c r="M3" i="1"/>
  <c r="L3" i="1"/>
  <c r="M15" i="1"/>
  <c r="L15" i="1"/>
  <c r="M7" i="1"/>
  <c r="L7" i="1"/>
  <c r="M13" i="1" a="1"/>
  <c r="M13" i="1" s="1"/>
  <c r="L13" i="1" a="1"/>
  <c r="L13" i="1" s="1"/>
  <c r="M5" i="1" a="1"/>
  <c r="M5" i="1" s="1"/>
  <c r="L5" i="1" a="1"/>
  <c r="L5" i="1" s="1"/>
  <c r="J42" i="1"/>
  <c r="J82" i="1"/>
  <c r="J122" i="1"/>
  <c r="J3" i="1"/>
  <c r="J43" i="1"/>
  <c r="J83" i="1"/>
  <c r="J123" i="1"/>
  <c r="J4" i="1"/>
  <c r="J44" i="1"/>
  <c r="J84" i="1"/>
  <c r="J124" i="1"/>
  <c r="J5" i="1"/>
  <c r="J45" i="1"/>
  <c r="J85" i="1"/>
  <c r="J125" i="1"/>
  <c r="J6" i="1"/>
  <c r="J46" i="1"/>
  <c r="J86" i="1"/>
  <c r="J126" i="1"/>
  <c r="J7" i="1"/>
  <c r="J47" i="1"/>
  <c r="J87" i="1"/>
  <c r="J127" i="1"/>
  <c r="J8" i="1"/>
  <c r="J48" i="1"/>
  <c r="J88" i="1"/>
  <c r="J128" i="1"/>
  <c r="J9" i="1"/>
  <c r="J49" i="1"/>
  <c r="J89" i="1"/>
  <c r="J129" i="1"/>
  <c r="J10" i="1"/>
  <c r="J50" i="1"/>
  <c r="J90" i="1"/>
  <c r="J130" i="1"/>
  <c r="J11" i="1"/>
  <c r="J51" i="1"/>
  <c r="J91" i="1"/>
  <c r="J131" i="1"/>
  <c r="J12" i="1"/>
  <c r="J52" i="1"/>
  <c r="J92" i="1"/>
  <c r="J132" i="1"/>
  <c r="J13" i="1"/>
  <c r="J53" i="1"/>
  <c r="J93" i="1"/>
  <c r="J133" i="1"/>
  <c r="J14" i="1"/>
  <c r="J54" i="1"/>
  <c r="J94" i="1"/>
  <c r="J134" i="1"/>
  <c r="J15" i="1"/>
  <c r="J55" i="1"/>
  <c r="J95" i="1"/>
  <c r="J135" i="1"/>
  <c r="J16" i="1"/>
  <c r="J56" i="1"/>
  <c r="J96" i="1"/>
  <c r="J136" i="1"/>
  <c r="J17" i="1"/>
  <c r="J57" i="1"/>
  <c r="J97" i="1"/>
  <c r="J137" i="1"/>
  <c r="J18" i="1"/>
  <c r="J58" i="1"/>
  <c r="J98" i="1"/>
  <c r="J138" i="1"/>
  <c r="J19" i="1"/>
  <c r="J59" i="1"/>
  <c r="J99" i="1"/>
  <c r="J139" i="1"/>
  <c r="J20" i="1"/>
  <c r="J60" i="1"/>
  <c r="J100" i="1"/>
  <c r="J140" i="1"/>
  <c r="J21" i="1"/>
  <c r="J61" i="1"/>
  <c r="J101" i="1"/>
  <c r="J141" i="1"/>
  <c r="J22" i="1"/>
  <c r="J62" i="1"/>
  <c r="J102" i="1"/>
  <c r="J142" i="1"/>
  <c r="J23" i="1"/>
  <c r="J63" i="1"/>
  <c r="J103" i="1"/>
  <c r="J143" i="1"/>
  <c r="J24" i="1"/>
  <c r="J64" i="1"/>
  <c r="J104" i="1"/>
  <c r="J144" i="1"/>
  <c r="J25" i="1"/>
  <c r="J65" i="1"/>
  <c r="J105" i="1"/>
  <c r="J145" i="1"/>
  <c r="J26" i="1"/>
  <c r="J66" i="1"/>
  <c r="J106" i="1"/>
  <c r="J146" i="1"/>
  <c r="J27" i="1"/>
  <c r="J67" i="1"/>
  <c r="J107" i="1"/>
  <c r="J147" i="1"/>
  <c r="J28" i="1"/>
  <c r="J68" i="1"/>
  <c r="J108" i="1"/>
  <c r="J148" i="1"/>
  <c r="J29" i="1"/>
  <c r="J69" i="1"/>
  <c r="J109" i="1"/>
  <c r="J149" i="1"/>
  <c r="J30" i="1"/>
  <c r="J70" i="1"/>
  <c r="J110" i="1"/>
  <c r="J150" i="1"/>
  <c r="J31" i="1"/>
  <c r="J71" i="1"/>
  <c r="J111" i="1"/>
  <c r="J151" i="1"/>
  <c r="J32" i="1"/>
  <c r="J72" i="1"/>
  <c r="J112" i="1"/>
  <c r="J152" i="1"/>
  <c r="J33" i="1"/>
  <c r="J73" i="1"/>
  <c r="J113" i="1"/>
  <c r="J153" i="1"/>
  <c r="J34" i="1"/>
  <c r="J74" i="1"/>
  <c r="J114" i="1"/>
  <c r="J154" i="1"/>
  <c r="J35" i="1"/>
  <c r="J75" i="1"/>
  <c r="J115" i="1"/>
  <c r="J155" i="1"/>
  <c r="J36" i="1"/>
  <c r="J76" i="1"/>
  <c r="J116" i="1"/>
  <c r="J156" i="1"/>
  <c r="J37" i="1"/>
  <c r="J77" i="1"/>
  <c r="J117" i="1"/>
  <c r="J157" i="1"/>
  <c r="J38" i="1"/>
  <c r="J78" i="1"/>
  <c r="J118" i="1"/>
  <c r="J158" i="1"/>
  <c r="J39" i="1"/>
  <c r="J79" i="1"/>
  <c r="J119" i="1"/>
  <c r="J159" i="1"/>
  <c r="J40" i="1"/>
  <c r="J80" i="1"/>
  <c r="J120" i="1"/>
  <c r="J160" i="1"/>
  <c r="J41" i="1"/>
  <c r="J81" i="1"/>
  <c r="J121" i="1"/>
  <c r="J161" i="1"/>
  <c r="J2" i="1"/>
  <c r="L2" i="1" s="1"/>
  <c r="I42" i="1"/>
  <c r="I82" i="1"/>
  <c r="I122" i="1"/>
  <c r="I3" i="1"/>
  <c r="I43" i="1"/>
  <c r="I83" i="1"/>
  <c r="I123" i="1"/>
  <c r="I4" i="1"/>
  <c r="I44" i="1"/>
  <c r="I84" i="1"/>
  <c r="I124" i="1"/>
  <c r="I5" i="1"/>
  <c r="I45" i="1"/>
  <c r="I85" i="1"/>
  <c r="I125" i="1"/>
  <c r="I6" i="1"/>
  <c r="I46" i="1"/>
  <c r="I86" i="1"/>
  <c r="I126" i="1"/>
  <c r="I7" i="1"/>
  <c r="I47" i="1"/>
  <c r="I87" i="1"/>
  <c r="I127" i="1"/>
  <c r="I8" i="1"/>
  <c r="I48" i="1"/>
  <c r="I88" i="1"/>
  <c r="I128" i="1"/>
  <c r="I9" i="1"/>
  <c r="I49" i="1"/>
  <c r="I89" i="1"/>
  <c r="I129" i="1"/>
  <c r="I10" i="1"/>
  <c r="I50" i="1"/>
  <c r="I90" i="1"/>
  <c r="I130" i="1"/>
  <c r="I11" i="1"/>
  <c r="I51" i="1"/>
  <c r="I91" i="1"/>
  <c r="I131" i="1"/>
  <c r="I12" i="1"/>
  <c r="I52" i="1"/>
  <c r="I92" i="1"/>
  <c r="I132" i="1"/>
  <c r="I13" i="1"/>
  <c r="I53" i="1"/>
  <c r="I93" i="1"/>
  <c r="I133" i="1"/>
  <c r="I14" i="1"/>
  <c r="I54" i="1"/>
  <c r="I94" i="1"/>
  <c r="I134" i="1"/>
  <c r="I15" i="1"/>
  <c r="I55" i="1"/>
  <c r="I95" i="1"/>
  <c r="I135" i="1"/>
  <c r="I16" i="1"/>
  <c r="I56" i="1"/>
  <c r="I96" i="1"/>
  <c r="I136" i="1"/>
  <c r="I17" i="1"/>
  <c r="I57" i="1"/>
  <c r="I97" i="1"/>
  <c r="I137" i="1"/>
  <c r="I18" i="1"/>
  <c r="I58" i="1"/>
  <c r="I98" i="1"/>
  <c r="I138" i="1"/>
  <c r="I19" i="1"/>
  <c r="I59" i="1"/>
  <c r="I99" i="1"/>
  <c r="I139" i="1"/>
  <c r="I20" i="1"/>
  <c r="I60" i="1"/>
  <c r="I100" i="1"/>
  <c r="I140" i="1"/>
  <c r="I21" i="1"/>
  <c r="I61" i="1"/>
  <c r="I101" i="1"/>
  <c r="I141" i="1"/>
  <c r="I22" i="1"/>
  <c r="I62" i="1"/>
  <c r="I102" i="1"/>
  <c r="I142" i="1"/>
  <c r="I23" i="1"/>
  <c r="I63" i="1"/>
  <c r="I103" i="1"/>
  <c r="I143" i="1"/>
  <c r="I24" i="1"/>
  <c r="I64" i="1"/>
  <c r="I104" i="1"/>
  <c r="I144" i="1"/>
  <c r="I25" i="1"/>
  <c r="I65" i="1"/>
  <c r="I105" i="1"/>
  <c r="I145" i="1"/>
  <c r="I26" i="1"/>
  <c r="I66" i="1"/>
  <c r="I106" i="1"/>
  <c r="I146" i="1"/>
  <c r="I27" i="1"/>
  <c r="I67" i="1"/>
  <c r="I107" i="1"/>
  <c r="I147" i="1"/>
  <c r="I28" i="1"/>
  <c r="I68" i="1"/>
  <c r="I108" i="1"/>
  <c r="I148" i="1"/>
  <c r="I29" i="1"/>
  <c r="I69" i="1"/>
  <c r="I109" i="1"/>
  <c r="I149" i="1"/>
  <c r="I30" i="1"/>
  <c r="I70" i="1"/>
  <c r="I110" i="1"/>
  <c r="I150" i="1"/>
  <c r="I31" i="1"/>
  <c r="I71" i="1"/>
  <c r="I111" i="1"/>
  <c r="I151" i="1"/>
  <c r="I32" i="1"/>
  <c r="I72" i="1"/>
  <c r="I112" i="1"/>
  <c r="I152" i="1"/>
  <c r="I33" i="1"/>
  <c r="I73" i="1"/>
  <c r="I113" i="1"/>
  <c r="I153" i="1"/>
  <c r="I34" i="1"/>
  <c r="I74" i="1"/>
  <c r="I114" i="1"/>
  <c r="I154" i="1"/>
  <c r="I35" i="1"/>
  <c r="I75" i="1"/>
  <c r="I115" i="1"/>
  <c r="I155" i="1"/>
  <c r="I36" i="1"/>
  <c r="I76" i="1"/>
  <c r="I116" i="1"/>
  <c r="I156" i="1"/>
  <c r="I37" i="1"/>
  <c r="I77" i="1"/>
  <c r="I117" i="1"/>
  <c r="I157" i="1"/>
  <c r="I38" i="1"/>
  <c r="I78" i="1"/>
  <c r="I118" i="1"/>
  <c r="I158" i="1"/>
  <c r="I39" i="1"/>
  <c r="I79" i="1"/>
  <c r="I119" i="1"/>
  <c r="I159" i="1"/>
  <c r="I40" i="1"/>
  <c r="I80" i="1"/>
  <c r="I120" i="1"/>
  <c r="I160" i="1"/>
  <c r="I41" i="1"/>
  <c r="I81" i="1"/>
  <c r="I121" i="1"/>
  <c r="I161" i="1"/>
  <c r="I2" i="1"/>
  <c r="H2" i="1"/>
  <c r="H42" i="1"/>
  <c r="H82" i="1"/>
  <c r="H122" i="1"/>
  <c r="H3" i="1"/>
  <c r="H43" i="1"/>
  <c r="H83" i="1"/>
  <c r="H123" i="1"/>
  <c r="H4" i="1"/>
  <c r="H44" i="1"/>
  <c r="H84" i="1"/>
  <c r="H124" i="1"/>
  <c r="H5" i="1"/>
  <c r="H45" i="1"/>
  <c r="H85" i="1"/>
  <c r="H125" i="1"/>
  <c r="H6" i="1"/>
  <c r="H46" i="1"/>
  <c r="H86" i="1"/>
  <c r="H126" i="1"/>
  <c r="H7" i="1"/>
  <c r="H47" i="1"/>
  <c r="H87" i="1"/>
  <c r="H127" i="1"/>
  <c r="H8" i="1"/>
  <c r="H48" i="1"/>
  <c r="H88" i="1"/>
  <c r="H128" i="1"/>
  <c r="H9" i="1"/>
  <c r="H49" i="1"/>
  <c r="H89" i="1"/>
  <c r="H129" i="1"/>
  <c r="H10" i="1"/>
  <c r="H50" i="1"/>
  <c r="H90" i="1"/>
  <c r="H130" i="1"/>
  <c r="H11" i="1"/>
  <c r="H51" i="1"/>
  <c r="H91" i="1"/>
  <c r="H131" i="1"/>
  <c r="H12" i="1"/>
  <c r="H52" i="1"/>
  <c r="H92" i="1"/>
  <c r="H132" i="1"/>
  <c r="H13" i="1"/>
  <c r="H53" i="1"/>
  <c r="H93" i="1"/>
  <c r="H133" i="1"/>
  <c r="H14" i="1"/>
  <c r="H54" i="1"/>
  <c r="H94" i="1"/>
  <c r="H134" i="1"/>
  <c r="H15" i="1"/>
  <c r="H55" i="1"/>
  <c r="H95" i="1"/>
  <c r="H135" i="1"/>
  <c r="H16" i="1"/>
  <c r="H56" i="1"/>
  <c r="H96" i="1"/>
  <c r="H136" i="1"/>
  <c r="H17" i="1"/>
  <c r="H57" i="1"/>
  <c r="H97" i="1"/>
  <c r="H137" i="1"/>
  <c r="H18" i="1"/>
  <c r="H58" i="1"/>
  <c r="H98" i="1"/>
  <c r="H138" i="1"/>
  <c r="H19" i="1"/>
  <c r="H59" i="1"/>
  <c r="H99" i="1"/>
  <c r="H139" i="1"/>
  <c r="H20" i="1"/>
  <c r="H60" i="1"/>
  <c r="H100" i="1"/>
  <c r="H140" i="1"/>
  <c r="H21" i="1"/>
  <c r="H61" i="1"/>
  <c r="H101" i="1"/>
  <c r="H141" i="1"/>
  <c r="H22" i="1"/>
  <c r="H62" i="1"/>
  <c r="H102" i="1"/>
  <c r="H142" i="1"/>
  <c r="H23" i="1"/>
  <c r="H63" i="1"/>
  <c r="H103" i="1"/>
  <c r="H143" i="1"/>
  <c r="H24" i="1"/>
  <c r="H64" i="1"/>
  <c r="H104" i="1"/>
  <c r="H144" i="1"/>
  <c r="H25" i="1"/>
  <c r="H65" i="1"/>
  <c r="H105" i="1"/>
  <c r="H145" i="1"/>
  <c r="H26" i="1"/>
  <c r="H66" i="1"/>
  <c r="H106" i="1"/>
  <c r="H146" i="1"/>
  <c r="H27" i="1"/>
  <c r="H67" i="1"/>
  <c r="H107" i="1"/>
  <c r="H147" i="1"/>
  <c r="H28" i="1"/>
  <c r="H68" i="1"/>
  <c r="H108" i="1"/>
  <c r="H148" i="1"/>
  <c r="H29" i="1"/>
  <c r="H69" i="1"/>
  <c r="H109" i="1"/>
  <c r="H149" i="1"/>
  <c r="H30" i="1"/>
  <c r="H70" i="1"/>
  <c r="H110" i="1"/>
  <c r="H150" i="1"/>
  <c r="H31" i="1"/>
  <c r="H71" i="1"/>
  <c r="H111" i="1"/>
  <c r="H151" i="1"/>
  <c r="H32" i="1"/>
  <c r="H72" i="1"/>
  <c r="H112" i="1"/>
  <c r="H152" i="1"/>
  <c r="H33" i="1"/>
  <c r="H73" i="1"/>
  <c r="H113" i="1"/>
  <c r="H153" i="1"/>
  <c r="H34" i="1"/>
  <c r="H74" i="1"/>
  <c r="H114" i="1"/>
  <c r="H154" i="1"/>
  <c r="H35" i="1"/>
  <c r="H75" i="1"/>
  <c r="H115" i="1"/>
  <c r="H155" i="1"/>
  <c r="H36" i="1"/>
  <c r="H76" i="1"/>
  <c r="H116" i="1"/>
  <c r="H156" i="1"/>
  <c r="H37" i="1"/>
  <c r="H77" i="1"/>
  <c r="H117" i="1"/>
  <c r="H157" i="1"/>
  <c r="H38" i="1"/>
  <c r="H78" i="1"/>
  <c r="H118" i="1"/>
  <c r="H158" i="1"/>
  <c r="H39" i="1"/>
  <c r="H79" i="1"/>
  <c r="H119" i="1"/>
  <c r="H159" i="1"/>
  <c r="H40" i="1"/>
  <c r="H80" i="1"/>
  <c r="H120" i="1"/>
  <c r="H160" i="1"/>
  <c r="H41" i="1"/>
  <c r="H81" i="1"/>
  <c r="H121" i="1"/>
  <c r="H161" i="1"/>
  <c r="M10" i="1" l="1"/>
  <c r="L10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<sst xmlns="http://schemas.openxmlformats.org/spreadsheetml/2006/main" count="39" uniqueCount="29">
  <si>
    <t>lag</t>
  </si>
  <si>
    <t>T1_pos</t>
  </si>
  <si>
    <t>T2_pos</t>
  </si>
  <si>
    <t>T1_target</t>
  </si>
  <si>
    <t>T2_target</t>
  </si>
  <si>
    <t>textbox1.text</t>
  </si>
  <si>
    <t>textbox2.text</t>
  </si>
  <si>
    <t>t1_correct</t>
  </si>
  <si>
    <t>t2_correct</t>
  </si>
  <si>
    <t>conditional accuracy</t>
  </si>
  <si>
    <t>Grand Total</t>
  </si>
  <si>
    <t>Average of t1_correct</t>
  </si>
  <si>
    <t>Average of t2_correct</t>
  </si>
  <si>
    <t>Average of conditional accuracy</t>
  </si>
  <si>
    <t>Lag</t>
  </si>
  <si>
    <t>mean for lag 2</t>
  </si>
  <si>
    <t>mean for lag 3</t>
  </si>
  <si>
    <t>mean for lag 5</t>
  </si>
  <si>
    <t>mean for lag 8</t>
  </si>
  <si>
    <t>std dev lag 2</t>
  </si>
  <si>
    <t>std dev lag 3</t>
  </si>
  <si>
    <t>std dev lag 5</t>
  </si>
  <si>
    <t>std dev lag 8</t>
  </si>
  <si>
    <t>count</t>
  </si>
  <si>
    <t>std error</t>
  </si>
  <si>
    <t>lag 2</t>
  </si>
  <si>
    <t>lag 3</t>
  </si>
  <si>
    <t>lag 5</t>
  </si>
  <si>
    <t>lag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</si>
</sst>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all" normalizeH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Attentional Blink: T2|T1 Accuracy Across Lag for p1</a:t>
            </a:r>
            <a:endPara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graph!$C$3</c:f>
              <c:strCache>
                <c:ptCount val="1"/>
                <c:pt idx="0">
                  <c:v>Average of conditional accuracy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graph!$C$13:$F$13</c:f>
                <c:numCache>
                  <c:formatCode>General</c:formatCode>
                  <c:ptCount val="4"/>
                  <c:pt idx="0">
                    <c:v>7.9158231669395188E-2</c:v>
                  </c:pt>
                  <c:pt idx="1">
                    <c:v>7.9963934178045329E-2</c:v>
                  </c:pt>
                  <c:pt idx="2">
                    <c:v>7.1499506901652743E-2</c:v>
                  </c:pt>
                  <c:pt idx="3">
                    <c:v>7.7521709118255289E-2</c:v>
                  </c:pt>
                </c:numCache>
              </c:numRef>
            </c:plus>
            <c:minus>
              <c:numRef>
                <c:f>graph!$C$13:$F$13</c:f>
                <c:numCache>
                  <c:formatCode>General</c:formatCode>
                  <c:ptCount val="4"/>
                  <c:pt idx="0">
                    <c:v>7.9158231669395188E-2</c:v>
                  </c:pt>
                  <c:pt idx="1">
                    <c:v>7.9963934178045329E-2</c:v>
                  </c:pt>
                  <c:pt idx="2">
                    <c:v>7.1499506901652743E-2</c:v>
                  </c:pt>
                  <c:pt idx="3">
                    <c:v>7.7521709118255289E-2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graph!$B$4:$B$7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numCache>
            </c:numRef>
          </c:cat>
          <c:val>
            <c:numRef>
              <c:f>graph!$C$4:$C$7</c:f>
              <c:numCache>
                <c:formatCode>0%</c:formatCode>
                <c:ptCount val="4"/>
                <c:pt idx="0">
                  <c:v>0.42499999999999999</c:v>
                </c:pt>
                <c:pt idx="1">
                  <c:v>0.52500000000000002</c:v>
                </c:pt>
                <c:pt idx="2">
                  <c:v>0.72499999999999998</c:v>
                </c:pt>
                <c:pt idx="3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71-4E36-8A22-9AB43294D1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downBars>
        </c:upDownBars>
        <c:marker val="1"/>
        <c:smooth val="0"/>
        <c:axId val="2073934575"/>
        <c:axId val="2073951215"/>
      </c:lineChart>
      <c:catAx>
        <c:axId val="207393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951215"/>
        <c:crosses val="autoZero"/>
        <c:auto val="1"/>
        <c:lblAlgn val="ctr"/>
        <c:lblOffset val="100"/>
        <c:noMultiLvlLbl val="0"/>
      </c:catAx>
      <c:valAx>
        <c:axId val="2073951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93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</xdr:row>
      <xdr:rowOff>80962</xdr:rowOff>
    </xdr:from>
    <xdr:to>
      <xdr:col>15</xdr:col>
      <xdr:colOff>323850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B0B3D-30FE-454D-B141-ABB4CEA8A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80.397970717589" createdVersion="7" refreshedVersion="7" minRefreshableVersion="3" recordCount="161" xr:uid="{343B8AC8-9D69-4C54-913B-67E505CE24DE}">
  <cacheSource type="worksheet">
    <worksheetSource ref="A1:J1048576" sheet="p1_attentional blink"/>
  </cacheSource>
  <cacheFields count="10">
    <cacheField name="lag" numFmtId="0">
      <sharedItems containsString="0" containsBlank="1" containsNumber="1" containsInteger="1" minValue="2" maxValue="8" count="5">
        <n v="2"/>
        <n v="3"/>
        <n v="5"/>
        <n v="8"/>
        <m/>
      </sharedItems>
    </cacheField>
    <cacheField name="T1_pos" numFmtId="0">
      <sharedItems containsString="0" containsBlank="1" containsNumber="1" containsInteger="1" minValue="4" maxValue="5"/>
    </cacheField>
    <cacheField name="T2_pos" numFmtId="0">
      <sharedItems containsString="0" containsBlank="1" containsNumber="1" containsInteger="1" minValue="6" maxValue="13"/>
    </cacheField>
    <cacheField name="T1_target" numFmtId="0">
      <sharedItems containsString="0" containsBlank="1" containsNumber="1" containsInteger="1" minValue="1" maxValue="9"/>
    </cacheField>
    <cacheField name="T2_target" numFmtId="0">
      <sharedItems containsString="0" containsBlank="1" containsNumber="1" containsInteger="1" minValue="1" maxValue="9"/>
    </cacheField>
    <cacheField name="textbox1.text" numFmtId="0">
      <sharedItems containsString="0" containsBlank="1" containsNumber="1" containsInteger="1" minValue="1" maxValue="12"/>
    </cacheField>
    <cacheField name="textbox2.text" numFmtId="0">
      <sharedItems containsString="0" containsBlank="1" containsNumber="1" containsInteger="1" minValue="1" maxValue="9"/>
    </cacheField>
    <cacheField name="t1_correct" numFmtId="0">
      <sharedItems containsString="0" containsBlank="1" containsNumber="1" containsInteger="1" minValue="0" maxValue="1"/>
    </cacheField>
    <cacheField name="t2_correct" numFmtId="0">
      <sharedItems containsString="0" containsBlank="1" containsNumber="1" containsInteger="1" minValue="0" maxValue="1"/>
    </cacheField>
    <cacheField name="conditional accuracy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x v="0"/>
    <n v="4"/>
    <n v="6"/>
    <n v="7"/>
    <n v="8"/>
    <n v="7"/>
    <n v="8"/>
    <n v="1"/>
    <n v="1"/>
    <n v="1"/>
  </r>
  <r>
    <x v="1"/>
    <n v="4"/>
    <n v="7"/>
    <n v="9"/>
    <n v="9"/>
    <n v="9"/>
    <n v="6"/>
    <n v="1"/>
    <n v="0"/>
    <n v="0"/>
  </r>
  <r>
    <x v="2"/>
    <n v="4"/>
    <n v="9"/>
    <n v="3"/>
    <n v="2"/>
    <n v="3"/>
    <n v="2"/>
    <n v="1"/>
    <n v="1"/>
    <n v="1"/>
  </r>
  <r>
    <x v="3"/>
    <n v="4"/>
    <n v="12"/>
    <n v="9"/>
    <n v="2"/>
    <n v="9"/>
    <n v="2"/>
    <n v="1"/>
    <n v="1"/>
    <n v="1"/>
  </r>
  <r>
    <x v="0"/>
    <n v="5"/>
    <n v="7"/>
    <n v="8"/>
    <n v="3"/>
    <n v="8"/>
    <n v="3"/>
    <n v="1"/>
    <n v="1"/>
    <n v="1"/>
  </r>
  <r>
    <x v="1"/>
    <n v="5"/>
    <n v="8"/>
    <n v="9"/>
    <n v="9"/>
    <n v="9"/>
    <n v="8"/>
    <n v="1"/>
    <n v="0"/>
    <n v="0"/>
  </r>
  <r>
    <x v="2"/>
    <n v="5"/>
    <n v="10"/>
    <n v="3"/>
    <n v="7"/>
    <n v="3"/>
    <n v="7"/>
    <n v="1"/>
    <n v="1"/>
    <n v="1"/>
  </r>
  <r>
    <x v="3"/>
    <n v="5"/>
    <n v="13"/>
    <n v="2"/>
    <n v="6"/>
    <n v="2"/>
    <n v="6"/>
    <n v="1"/>
    <n v="1"/>
    <n v="1"/>
  </r>
  <r>
    <x v="0"/>
    <n v="4"/>
    <n v="6"/>
    <n v="8"/>
    <n v="3"/>
    <n v="8"/>
    <n v="9"/>
    <n v="1"/>
    <n v="0"/>
    <n v="0"/>
  </r>
  <r>
    <x v="1"/>
    <n v="4"/>
    <n v="7"/>
    <n v="3"/>
    <n v="9"/>
    <n v="8"/>
    <n v="9"/>
    <n v="0"/>
    <n v="1"/>
    <n v="0"/>
  </r>
  <r>
    <x v="2"/>
    <n v="4"/>
    <n v="9"/>
    <n v="8"/>
    <n v="8"/>
    <n v="7"/>
    <n v="8"/>
    <n v="0"/>
    <n v="1"/>
    <n v="0"/>
  </r>
  <r>
    <x v="3"/>
    <n v="4"/>
    <n v="12"/>
    <n v="5"/>
    <n v="5"/>
    <n v="2"/>
    <n v="5"/>
    <n v="0"/>
    <n v="1"/>
    <n v="0"/>
  </r>
  <r>
    <x v="0"/>
    <n v="5"/>
    <n v="7"/>
    <n v="7"/>
    <n v="2"/>
    <n v="7"/>
    <n v="8"/>
    <n v="1"/>
    <n v="0"/>
    <n v="0"/>
  </r>
  <r>
    <x v="1"/>
    <n v="5"/>
    <n v="8"/>
    <n v="7"/>
    <n v="2"/>
    <n v="7"/>
    <n v="8"/>
    <n v="1"/>
    <n v="0"/>
    <n v="0"/>
  </r>
  <r>
    <x v="2"/>
    <n v="5"/>
    <n v="10"/>
    <n v="2"/>
    <n v="5"/>
    <n v="5"/>
    <n v="9"/>
    <n v="0"/>
    <n v="0"/>
    <n v="0"/>
  </r>
  <r>
    <x v="3"/>
    <n v="5"/>
    <n v="13"/>
    <n v="1"/>
    <n v="6"/>
    <n v="1"/>
    <n v="6"/>
    <n v="1"/>
    <n v="1"/>
    <n v="1"/>
  </r>
  <r>
    <x v="0"/>
    <n v="4"/>
    <n v="6"/>
    <n v="5"/>
    <n v="7"/>
    <n v="5"/>
    <n v="7"/>
    <n v="1"/>
    <n v="1"/>
    <n v="1"/>
  </r>
  <r>
    <x v="1"/>
    <n v="4"/>
    <n v="7"/>
    <n v="4"/>
    <n v="1"/>
    <n v="4"/>
    <n v="1"/>
    <n v="1"/>
    <n v="1"/>
    <n v="1"/>
  </r>
  <r>
    <x v="2"/>
    <n v="4"/>
    <n v="9"/>
    <n v="8"/>
    <n v="8"/>
    <n v="8"/>
    <n v="9"/>
    <n v="1"/>
    <n v="0"/>
    <n v="0"/>
  </r>
  <r>
    <x v="3"/>
    <n v="4"/>
    <n v="12"/>
    <n v="1"/>
    <n v="1"/>
    <n v="1"/>
    <n v="1"/>
    <n v="1"/>
    <n v="1"/>
    <n v="1"/>
  </r>
  <r>
    <x v="0"/>
    <n v="5"/>
    <n v="7"/>
    <n v="7"/>
    <n v="2"/>
    <n v="7"/>
    <n v="8"/>
    <n v="1"/>
    <n v="0"/>
    <n v="0"/>
  </r>
  <r>
    <x v="1"/>
    <n v="5"/>
    <n v="8"/>
    <n v="2"/>
    <n v="4"/>
    <n v="8"/>
    <n v="9"/>
    <n v="0"/>
    <n v="0"/>
    <n v="0"/>
  </r>
  <r>
    <x v="2"/>
    <n v="5"/>
    <n v="10"/>
    <n v="6"/>
    <n v="1"/>
    <n v="6"/>
    <n v="1"/>
    <n v="1"/>
    <n v="1"/>
    <n v="1"/>
  </r>
  <r>
    <x v="3"/>
    <n v="5"/>
    <n v="13"/>
    <n v="8"/>
    <n v="6"/>
    <n v="8"/>
    <n v="6"/>
    <n v="1"/>
    <n v="1"/>
    <n v="1"/>
  </r>
  <r>
    <x v="0"/>
    <n v="4"/>
    <n v="6"/>
    <n v="5"/>
    <n v="8"/>
    <n v="8"/>
    <n v="9"/>
    <n v="0"/>
    <n v="0"/>
    <n v="0"/>
  </r>
  <r>
    <x v="1"/>
    <n v="4"/>
    <n v="7"/>
    <n v="8"/>
    <n v="8"/>
    <n v="8"/>
    <n v="5"/>
    <n v="1"/>
    <n v="0"/>
    <n v="0"/>
  </r>
  <r>
    <x v="2"/>
    <n v="4"/>
    <n v="9"/>
    <n v="2"/>
    <n v="5"/>
    <n v="2"/>
    <n v="5"/>
    <n v="1"/>
    <n v="1"/>
    <n v="1"/>
  </r>
  <r>
    <x v="3"/>
    <n v="4"/>
    <n v="12"/>
    <n v="4"/>
    <n v="6"/>
    <n v="7"/>
    <n v="6"/>
    <n v="0"/>
    <n v="1"/>
    <n v="0"/>
  </r>
  <r>
    <x v="0"/>
    <n v="5"/>
    <n v="7"/>
    <n v="2"/>
    <n v="8"/>
    <n v="2"/>
    <n v="8"/>
    <n v="1"/>
    <n v="1"/>
    <n v="1"/>
  </r>
  <r>
    <x v="1"/>
    <n v="5"/>
    <n v="8"/>
    <n v="8"/>
    <n v="5"/>
    <n v="8"/>
    <n v="5"/>
    <n v="1"/>
    <n v="1"/>
    <n v="1"/>
  </r>
  <r>
    <x v="2"/>
    <n v="5"/>
    <n v="10"/>
    <n v="7"/>
    <n v="5"/>
    <n v="7"/>
    <n v="5"/>
    <n v="1"/>
    <n v="1"/>
    <n v="1"/>
  </r>
  <r>
    <x v="3"/>
    <n v="5"/>
    <n v="13"/>
    <n v="2"/>
    <n v="5"/>
    <n v="2"/>
    <n v="5"/>
    <n v="1"/>
    <n v="1"/>
    <n v="1"/>
  </r>
  <r>
    <x v="0"/>
    <n v="4"/>
    <n v="6"/>
    <n v="5"/>
    <n v="3"/>
    <n v="2"/>
    <n v="5"/>
    <n v="0"/>
    <n v="0"/>
    <n v="0"/>
  </r>
  <r>
    <x v="1"/>
    <n v="4"/>
    <n v="7"/>
    <n v="8"/>
    <n v="6"/>
    <n v="8"/>
    <n v="6"/>
    <n v="1"/>
    <n v="1"/>
    <n v="1"/>
  </r>
  <r>
    <x v="2"/>
    <n v="4"/>
    <n v="9"/>
    <n v="5"/>
    <n v="1"/>
    <n v="5"/>
    <n v="1"/>
    <n v="1"/>
    <n v="1"/>
    <n v="1"/>
  </r>
  <r>
    <x v="3"/>
    <n v="4"/>
    <n v="12"/>
    <n v="4"/>
    <n v="8"/>
    <n v="4"/>
    <n v="8"/>
    <n v="1"/>
    <n v="1"/>
    <n v="1"/>
  </r>
  <r>
    <x v="0"/>
    <n v="5"/>
    <n v="7"/>
    <n v="1"/>
    <n v="9"/>
    <n v="3"/>
    <n v="1"/>
    <n v="0"/>
    <n v="0"/>
    <n v="0"/>
  </r>
  <r>
    <x v="1"/>
    <n v="5"/>
    <n v="8"/>
    <n v="9"/>
    <n v="7"/>
    <n v="9"/>
    <n v="8"/>
    <n v="1"/>
    <n v="0"/>
    <n v="0"/>
  </r>
  <r>
    <x v="2"/>
    <n v="5"/>
    <n v="10"/>
    <n v="2"/>
    <n v="1"/>
    <n v="2"/>
    <n v="1"/>
    <n v="1"/>
    <n v="1"/>
    <n v="1"/>
  </r>
  <r>
    <x v="3"/>
    <n v="5"/>
    <n v="13"/>
    <n v="5"/>
    <n v="3"/>
    <n v="6"/>
    <n v="3"/>
    <n v="0"/>
    <n v="1"/>
    <n v="0"/>
  </r>
  <r>
    <x v="0"/>
    <n v="4"/>
    <n v="6"/>
    <n v="1"/>
    <n v="4"/>
    <n v="1"/>
    <n v="4"/>
    <n v="1"/>
    <n v="1"/>
    <n v="1"/>
  </r>
  <r>
    <x v="1"/>
    <n v="4"/>
    <n v="7"/>
    <n v="5"/>
    <n v="7"/>
    <n v="5"/>
    <n v="7"/>
    <n v="1"/>
    <n v="1"/>
    <n v="1"/>
  </r>
  <r>
    <x v="2"/>
    <n v="4"/>
    <n v="9"/>
    <n v="9"/>
    <n v="1"/>
    <n v="8"/>
    <n v="1"/>
    <n v="0"/>
    <n v="1"/>
    <n v="0"/>
  </r>
  <r>
    <x v="3"/>
    <n v="4"/>
    <n v="12"/>
    <n v="6"/>
    <n v="3"/>
    <n v="6"/>
    <n v="3"/>
    <n v="1"/>
    <n v="1"/>
    <n v="1"/>
  </r>
  <r>
    <x v="0"/>
    <n v="5"/>
    <n v="7"/>
    <n v="9"/>
    <n v="2"/>
    <n v="2"/>
    <n v="9"/>
    <n v="0"/>
    <n v="0"/>
    <n v="0"/>
  </r>
  <r>
    <x v="1"/>
    <n v="5"/>
    <n v="8"/>
    <n v="4"/>
    <n v="8"/>
    <n v="4"/>
    <n v="8"/>
    <n v="1"/>
    <n v="1"/>
    <n v="1"/>
  </r>
  <r>
    <x v="2"/>
    <n v="5"/>
    <n v="10"/>
    <n v="9"/>
    <n v="1"/>
    <n v="9"/>
    <n v="1"/>
    <n v="1"/>
    <n v="1"/>
    <n v="1"/>
  </r>
  <r>
    <x v="3"/>
    <n v="5"/>
    <n v="13"/>
    <n v="4"/>
    <n v="9"/>
    <n v="4"/>
    <n v="5"/>
    <n v="1"/>
    <n v="0"/>
    <n v="0"/>
  </r>
  <r>
    <x v="0"/>
    <n v="4"/>
    <n v="6"/>
    <n v="1"/>
    <n v="8"/>
    <n v="1"/>
    <n v="8"/>
    <n v="1"/>
    <n v="1"/>
    <n v="1"/>
  </r>
  <r>
    <x v="1"/>
    <n v="4"/>
    <n v="7"/>
    <n v="4"/>
    <n v="6"/>
    <n v="4"/>
    <n v="6"/>
    <n v="1"/>
    <n v="1"/>
    <n v="1"/>
  </r>
  <r>
    <x v="2"/>
    <n v="4"/>
    <n v="9"/>
    <n v="6"/>
    <n v="5"/>
    <n v="6"/>
    <n v="5"/>
    <n v="1"/>
    <n v="1"/>
    <n v="1"/>
  </r>
  <r>
    <x v="3"/>
    <n v="4"/>
    <n v="12"/>
    <n v="5"/>
    <n v="6"/>
    <n v="2"/>
    <n v="6"/>
    <n v="0"/>
    <n v="1"/>
    <n v="0"/>
  </r>
  <r>
    <x v="0"/>
    <n v="5"/>
    <n v="7"/>
    <n v="1"/>
    <n v="1"/>
    <n v="7"/>
    <n v="1"/>
    <n v="0"/>
    <n v="1"/>
    <n v="0"/>
  </r>
  <r>
    <x v="1"/>
    <n v="5"/>
    <n v="8"/>
    <n v="9"/>
    <n v="3"/>
    <n v="9"/>
    <n v="8"/>
    <n v="1"/>
    <n v="0"/>
    <n v="0"/>
  </r>
  <r>
    <x v="2"/>
    <n v="5"/>
    <n v="10"/>
    <n v="6"/>
    <n v="6"/>
    <n v="6"/>
    <n v="6"/>
    <n v="1"/>
    <n v="1"/>
    <n v="1"/>
  </r>
  <r>
    <x v="3"/>
    <n v="5"/>
    <n v="13"/>
    <n v="8"/>
    <n v="4"/>
    <n v="8"/>
    <n v="4"/>
    <n v="1"/>
    <n v="1"/>
    <n v="1"/>
  </r>
  <r>
    <x v="0"/>
    <n v="4"/>
    <n v="6"/>
    <n v="3"/>
    <n v="3"/>
    <n v="3"/>
    <n v="2"/>
    <n v="1"/>
    <n v="0"/>
    <n v="0"/>
  </r>
  <r>
    <x v="1"/>
    <n v="4"/>
    <n v="7"/>
    <n v="2"/>
    <n v="3"/>
    <n v="2"/>
    <n v="3"/>
    <n v="1"/>
    <n v="1"/>
    <n v="1"/>
  </r>
  <r>
    <x v="2"/>
    <n v="4"/>
    <n v="9"/>
    <n v="9"/>
    <n v="3"/>
    <n v="9"/>
    <n v="3"/>
    <n v="1"/>
    <n v="1"/>
    <n v="1"/>
  </r>
  <r>
    <x v="3"/>
    <n v="4"/>
    <n v="12"/>
    <n v="4"/>
    <n v="3"/>
    <n v="4"/>
    <n v="3"/>
    <n v="1"/>
    <n v="1"/>
    <n v="1"/>
  </r>
  <r>
    <x v="0"/>
    <n v="5"/>
    <n v="7"/>
    <n v="4"/>
    <n v="9"/>
    <n v="4"/>
    <n v="5"/>
    <n v="1"/>
    <n v="0"/>
    <n v="0"/>
  </r>
  <r>
    <x v="1"/>
    <n v="5"/>
    <n v="8"/>
    <n v="5"/>
    <n v="9"/>
    <n v="7"/>
    <n v="9"/>
    <n v="0"/>
    <n v="1"/>
    <n v="0"/>
  </r>
  <r>
    <x v="2"/>
    <n v="5"/>
    <n v="10"/>
    <n v="5"/>
    <n v="7"/>
    <n v="5"/>
    <n v="7"/>
    <n v="1"/>
    <n v="1"/>
    <n v="1"/>
  </r>
  <r>
    <x v="3"/>
    <n v="5"/>
    <n v="13"/>
    <n v="5"/>
    <n v="6"/>
    <n v="5"/>
    <n v="6"/>
    <n v="1"/>
    <n v="1"/>
    <n v="1"/>
  </r>
  <r>
    <x v="0"/>
    <n v="4"/>
    <n v="6"/>
    <n v="9"/>
    <n v="7"/>
    <n v="9"/>
    <n v="7"/>
    <n v="1"/>
    <n v="1"/>
    <n v="1"/>
  </r>
  <r>
    <x v="1"/>
    <n v="4"/>
    <n v="7"/>
    <n v="9"/>
    <n v="5"/>
    <n v="9"/>
    <n v="6"/>
    <n v="1"/>
    <n v="0"/>
    <n v="0"/>
  </r>
  <r>
    <x v="2"/>
    <n v="4"/>
    <n v="9"/>
    <n v="5"/>
    <n v="6"/>
    <n v="5"/>
    <n v="6"/>
    <n v="1"/>
    <n v="1"/>
    <n v="1"/>
  </r>
  <r>
    <x v="3"/>
    <n v="4"/>
    <n v="12"/>
    <n v="5"/>
    <n v="2"/>
    <n v="5"/>
    <n v="2"/>
    <n v="1"/>
    <n v="1"/>
    <n v="1"/>
  </r>
  <r>
    <x v="0"/>
    <n v="5"/>
    <n v="7"/>
    <n v="7"/>
    <n v="8"/>
    <n v="6"/>
    <n v="8"/>
    <n v="0"/>
    <n v="1"/>
    <n v="0"/>
  </r>
  <r>
    <x v="1"/>
    <n v="5"/>
    <n v="8"/>
    <n v="8"/>
    <n v="2"/>
    <n v="8"/>
    <n v="2"/>
    <n v="1"/>
    <n v="1"/>
    <n v="1"/>
  </r>
  <r>
    <x v="2"/>
    <n v="5"/>
    <n v="10"/>
    <n v="7"/>
    <n v="1"/>
    <n v="7"/>
    <n v="1"/>
    <n v="1"/>
    <n v="1"/>
    <n v="1"/>
  </r>
  <r>
    <x v="3"/>
    <n v="5"/>
    <n v="13"/>
    <n v="4"/>
    <n v="4"/>
    <n v="4"/>
    <n v="6"/>
    <n v="1"/>
    <n v="0"/>
    <n v="0"/>
  </r>
  <r>
    <x v="0"/>
    <n v="4"/>
    <n v="6"/>
    <n v="4"/>
    <n v="7"/>
    <n v="12"/>
    <n v="1"/>
    <n v="0"/>
    <n v="0"/>
    <n v="0"/>
  </r>
  <r>
    <x v="1"/>
    <n v="4"/>
    <n v="7"/>
    <n v="7"/>
    <n v="1"/>
    <n v="7"/>
    <n v="1"/>
    <n v="1"/>
    <n v="1"/>
    <n v="1"/>
  </r>
  <r>
    <x v="2"/>
    <n v="4"/>
    <n v="9"/>
    <n v="9"/>
    <n v="3"/>
    <n v="9"/>
    <n v="3"/>
    <n v="1"/>
    <n v="1"/>
    <n v="1"/>
  </r>
  <r>
    <x v="3"/>
    <n v="4"/>
    <n v="12"/>
    <n v="5"/>
    <n v="7"/>
    <n v="5"/>
    <n v="7"/>
    <n v="1"/>
    <n v="1"/>
    <n v="1"/>
  </r>
  <r>
    <x v="0"/>
    <n v="5"/>
    <n v="7"/>
    <n v="3"/>
    <n v="1"/>
    <n v="3"/>
    <n v="6"/>
    <n v="1"/>
    <n v="0"/>
    <n v="0"/>
  </r>
  <r>
    <x v="1"/>
    <n v="5"/>
    <n v="8"/>
    <n v="9"/>
    <n v="7"/>
    <n v="9"/>
    <n v="7"/>
    <n v="1"/>
    <n v="1"/>
    <n v="1"/>
  </r>
  <r>
    <x v="2"/>
    <n v="5"/>
    <n v="10"/>
    <n v="2"/>
    <n v="9"/>
    <n v="2"/>
    <n v="9"/>
    <n v="1"/>
    <n v="1"/>
    <n v="1"/>
  </r>
  <r>
    <x v="3"/>
    <n v="5"/>
    <n v="13"/>
    <n v="9"/>
    <n v="7"/>
    <n v="9"/>
    <n v="7"/>
    <n v="1"/>
    <n v="1"/>
    <n v="1"/>
  </r>
  <r>
    <x v="0"/>
    <n v="4"/>
    <n v="6"/>
    <n v="5"/>
    <n v="1"/>
    <n v="5"/>
    <n v="1"/>
    <n v="1"/>
    <n v="1"/>
    <n v="1"/>
  </r>
  <r>
    <x v="1"/>
    <n v="4"/>
    <n v="7"/>
    <n v="5"/>
    <n v="2"/>
    <n v="5"/>
    <n v="2"/>
    <n v="1"/>
    <n v="1"/>
    <n v="1"/>
  </r>
  <r>
    <x v="2"/>
    <n v="4"/>
    <n v="9"/>
    <n v="7"/>
    <n v="7"/>
    <n v="7"/>
    <n v="8"/>
    <n v="1"/>
    <n v="0"/>
    <n v="0"/>
  </r>
  <r>
    <x v="3"/>
    <n v="4"/>
    <n v="12"/>
    <n v="8"/>
    <n v="5"/>
    <n v="8"/>
    <n v="5"/>
    <n v="1"/>
    <n v="1"/>
    <n v="1"/>
  </r>
  <r>
    <x v="0"/>
    <n v="5"/>
    <n v="7"/>
    <n v="9"/>
    <n v="4"/>
    <n v="9"/>
    <n v="8"/>
    <n v="1"/>
    <n v="0"/>
    <n v="0"/>
  </r>
  <r>
    <x v="1"/>
    <n v="5"/>
    <n v="8"/>
    <n v="4"/>
    <n v="1"/>
    <n v="4"/>
    <n v="1"/>
    <n v="1"/>
    <n v="1"/>
    <n v="1"/>
  </r>
  <r>
    <x v="2"/>
    <n v="5"/>
    <n v="10"/>
    <n v="9"/>
    <n v="7"/>
    <n v="9"/>
    <n v="7"/>
    <n v="1"/>
    <n v="1"/>
    <n v="1"/>
  </r>
  <r>
    <x v="3"/>
    <n v="5"/>
    <n v="13"/>
    <n v="5"/>
    <n v="3"/>
    <n v="5"/>
    <n v="3"/>
    <n v="1"/>
    <n v="1"/>
    <n v="1"/>
  </r>
  <r>
    <x v="0"/>
    <n v="4"/>
    <n v="6"/>
    <n v="9"/>
    <n v="6"/>
    <n v="9"/>
    <n v="7"/>
    <n v="1"/>
    <n v="0"/>
    <n v="0"/>
  </r>
  <r>
    <x v="1"/>
    <n v="4"/>
    <n v="7"/>
    <n v="1"/>
    <n v="7"/>
    <n v="1"/>
    <n v="2"/>
    <n v="1"/>
    <n v="0"/>
    <n v="0"/>
  </r>
  <r>
    <x v="2"/>
    <n v="4"/>
    <n v="9"/>
    <n v="4"/>
    <n v="5"/>
    <n v="4"/>
    <n v="5"/>
    <n v="1"/>
    <n v="1"/>
    <n v="1"/>
  </r>
  <r>
    <x v="3"/>
    <n v="4"/>
    <n v="12"/>
    <n v="9"/>
    <n v="7"/>
    <n v="9"/>
    <n v="7"/>
    <n v="1"/>
    <n v="1"/>
    <n v="1"/>
  </r>
  <r>
    <x v="0"/>
    <n v="5"/>
    <n v="7"/>
    <n v="3"/>
    <n v="6"/>
    <n v="3"/>
    <n v="6"/>
    <n v="1"/>
    <n v="1"/>
    <n v="1"/>
  </r>
  <r>
    <x v="1"/>
    <n v="5"/>
    <n v="8"/>
    <n v="9"/>
    <n v="9"/>
    <n v="9"/>
    <n v="7"/>
    <n v="1"/>
    <n v="0"/>
    <n v="0"/>
  </r>
  <r>
    <x v="2"/>
    <n v="5"/>
    <n v="10"/>
    <n v="5"/>
    <n v="6"/>
    <n v="5"/>
    <n v="6"/>
    <n v="1"/>
    <n v="1"/>
    <n v="1"/>
  </r>
  <r>
    <x v="3"/>
    <n v="5"/>
    <n v="13"/>
    <n v="6"/>
    <n v="3"/>
    <n v="6"/>
    <n v="3"/>
    <n v="1"/>
    <n v="1"/>
    <n v="1"/>
  </r>
  <r>
    <x v="0"/>
    <n v="4"/>
    <n v="6"/>
    <n v="3"/>
    <n v="3"/>
    <n v="3"/>
    <n v="2"/>
    <n v="1"/>
    <n v="0"/>
    <n v="0"/>
  </r>
  <r>
    <x v="1"/>
    <n v="4"/>
    <n v="7"/>
    <n v="4"/>
    <n v="4"/>
    <n v="4"/>
    <n v="6"/>
    <n v="1"/>
    <n v="0"/>
    <n v="0"/>
  </r>
  <r>
    <x v="2"/>
    <n v="4"/>
    <n v="9"/>
    <n v="2"/>
    <n v="7"/>
    <n v="2"/>
    <n v="7"/>
    <n v="1"/>
    <n v="1"/>
    <n v="1"/>
  </r>
  <r>
    <x v="3"/>
    <n v="4"/>
    <n v="12"/>
    <n v="7"/>
    <n v="7"/>
    <n v="2"/>
    <n v="7"/>
    <n v="0"/>
    <n v="1"/>
    <n v="0"/>
  </r>
  <r>
    <x v="0"/>
    <n v="5"/>
    <n v="7"/>
    <n v="2"/>
    <n v="7"/>
    <n v="2"/>
    <n v="9"/>
    <n v="1"/>
    <n v="0"/>
    <n v="0"/>
  </r>
  <r>
    <x v="1"/>
    <n v="5"/>
    <n v="8"/>
    <n v="3"/>
    <n v="8"/>
    <n v="3"/>
    <n v="8"/>
    <n v="1"/>
    <n v="1"/>
    <n v="1"/>
  </r>
  <r>
    <x v="2"/>
    <n v="5"/>
    <n v="10"/>
    <n v="7"/>
    <n v="6"/>
    <n v="7"/>
    <n v="6"/>
    <n v="1"/>
    <n v="1"/>
    <n v="1"/>
  </r>
  <r>
    <x v="3"/>
    <n v="5"/>
    <n v="13"/>
    <n v="7"/>
    <n v="6"/>
    <n v="9"/>
    <n v="6"/>
    <n v="0"/>
    <n v="1"/>
    <n v="0"/>
  </r>
  <r>
    <x v="0"/>
    <n v="4"/>
    <n v="6"/>
    <n v="4"/>
    <n v="1"/>
    <n v="4"/>
    <n v="1"/>
    <n v="1"/>
    <n v="1"/>
    <n v="1"/>
  </r>
  <r>
    <x v="1"/>
    <n v="4"/>
    <n v="7"/>
    <n v="1"/>
    <n v="1"/>
    <n v="1"/>
    <n v="7"/>
    <n v="1"/>
    <n v="0"/>
    <n v="0"/>
  </r>
  <r>
    <x v="2"/>
    <n v="4"/>
    <n v="9"/>
    <n v="3"/>
    <n v="6"/>
    <n v="3"/>
    <n v="6"/>
    <n v="1"/>
    <n v="1"/>
    <n v="1"/>
  </r>
  <r>
    <x v="3"/>
    <n v="4"/>
    <n v="12"/>
    <n v="5"/>
    <n v="5"/>
    <n v="5"/>
    <n v="7"/>
    <n v="1"/>
    <n v="0"/>
    <n v="0"/>
  </r>
  <r>
    <x v="0"/>
    <n v="5"/>
    <n v="7"/>
    <n v="6"/>
    <n v="6"/>
    <n v="6"/>
    <n v="7"/>
    <n v="1"/>
    <n v="0"/>
    <n v="0"/>
  </r>
  <r>
    <x v="1"/>
    <n v="5"/>
    <n v="8"/>
    <n v="2"/>
    <n v="9"/>
    <n v="2"/>
    <n v="9"/>
    <n v="1"/>
    <n v="1"/>
    <n v="1"/>
  </r>
  <r>
    <x v="2"/>
    <n v="5"/>
    <n v="10"/>
    <n v="1"/>
    <n v="9"/>
    <n v="1"/>
    <n v="9"/>
    <n v="1"/>
    <n v="1"/>
    <n v="1"/>
  </r>
  <r>
    <x v="3"/>
    <n v="5"/>
    <n v="13"/>
    <n v="8"/>
    <n v="4"/>
    <n v="8"/>
    <n v="9"/>
    <n v="1"/>
    <n v="0"/>
    <n v="0"/>
  </r>
  <r>
    <x v="0"/>
    <n v="4"/>
    <n v="6"/>
    <n v="3"/>
    <n v="1"/>
    <n v="5"/>
    <n v="7"/>
    <n v="0"/>
    <n v="0"/>
    <n v="0"/>
  </r>
  <r>
    <x v="1"/>
    <n v="4"/>
    <n v="7"/>
    <n v="3"/>
    <n v="8"/>
    <n v="3"/>
    <n v="8"/>
    <n v="1"/>
    <n v="1"/>
    <n v="1"/>
  </r>
  <r>
    <x v="2"/>
    <n v="4"/>
    <n v="9"/>
    <n v="9"/>
    <n v="8"/>
    <n v="9"/>
    <n v="8"/>
    <n v="1"/>
    <n v="1"/>
    <n v="1"/>
  </r>
  <r>
    <x v="3"/>
    <n v="4"/>
    <n v="12"/>
    <n v="3"/>
    <n v="6"/>
    <n v="3"/>
    <n v="6"/>
    <n v="1"/>
    <n v="1"/>
    <n v="1"/>
  </r>
  <r>
    <x v="0"/>
    <n v="5"/>
    <n v="7"/>
    <n v="5"/>
    <n v="6"/>
    <n v="5"/>
    <n v="7"/>
    <n v="1"/>
    <n v="0"/>
    <n v="0"/>
  </r>
  <r>
    <x v="1"/>
    <n v="5"/>
    <n v="8"/>
    <n v="7"/>
    <n v="3"/>
    <n v="7"/>
    <n v="8"/>
    <n v="1"/>
    <n v="0"/>
    <n v="0"/>
  </r>
  <r>
    <x v="2"/>
    <n v="5"/>
    <n v="10"/>
    <n v="7"/>
    <n v="4"/>
    <n v="7"/>
    <n v="1"/>
    <n v="1"/>
    <n v="0"/>
    <n v="0"/>
  </r>
  <r>
    <x v="3"/>
    <n v="5"/>
    <n v="13"/>
    <n v="6"/>
    <n v="5"/>
    <n v="6"/>
    <n v="5"/>
    <n v="1"/>
    <n v="1"/>
    <n v="1"/>
  </r>
  <r>
    <x v="0"/>
    <n v="4"/>
    <n v="6"/>
    <n v="9"/>
    <n v="3"/>
    <n v="9"/>
    <n v="3"/>
    <n v="1"/>
    <n v="1"/>
    <n v="1"/>
  </r>
  <r>
    <x v="1"/>
    <n v="4"/>
    <n v="7"/>
    <n v="8"/>
    <n v="1"/>
    <n v="8"/>
    <n v="1"/>
    <n v="1"/>
    <n v="1"/>
    <n v="1"/>
  </r>
  <r>
    <x v="2"/>
    <n v="4"/>
    <n v="9"/>
    <n v="5"/>
    <n v="3"/>
    <n v="5"/>
    <n v="3"/>
    <n v="1"/>
    <n v="1"/>
    <n v="1"/>
  </r>
  <r>
    <x v="3"/>
    <n v="4"/>
    <n v="12"/>
    <n v="2"/>
    <n v="1"/>
    <n v="2"/>
    <n v="1"/>
    <n v="1"/>
    <n v="1"/>
    <n v="1"/>
  </r>
  <r>
    <x v="0"/>
    <n v="5"/>
    <n v="7"/>
    <n v="6"/>
    <n v="9"/>
    <n v="6"/>
    <n v="9"/>
    <n v="1"/>
    <n v="1"/>
    <n v="1"/>
  </r>
  <r>
    <x v="1"/>
    <n v="5"/>
    <n v="8"/>
    <n v="3"/>
    <n v="7"/>
    <n v="3"/>
    <n v="7"/>
    <n v="1"/>
    <n v="1"/>
    <n v="1"/>
  </r>
  <r>
    <x v="2"/>
    <n v="5"/>
    <n v="10"/>
    <n v="8"/>
    <n v="6"/>
    <n v="7"/>
    <n v="6"/>
    <n v="0"/>
    <n v="1"/>
    <n v="0"/>
  </r>
  <r>
    <x v="3"/>
    <n v="5"/>
    <n v="13"/>
    <n v="3"/>
    <n v="9"/>
    <n v="9"/>
    <n v="3"/>
    <n v="0"/>
    <n v="0"/>
    <n v="0"/>
  </r>
  <r>
    <x v="0"/>
    <n v="4"/>
    <n v="6"/>
    <n v="1"/>
    <n v="3"/>
    <n v="1"/>
    <n v="3"/>
    <n v="1"/>
    <n v="1"/>
    <n v="1"/>
  </r>
  <r>
    <x v="1"/>
    <n v="4"/>
    <n v="7"/>
    <n v="9"/>
    <n v="6"/>
    <n v="1"/>
    <n v="7"/>
    <n v="0"/>
    <n v="0"/>
    <n v="0"/>
  </r>
  <r>
    <x v="2"/>
    <n v="4"/>
    <n v="9"/>
    <n v="6"/>
    <n v="8"/>
    <n v="6"/>
    <n v="8"/>
    <n v="1"/>
    <n v="1"/>
    <n v="1"/>
  </r>
  <r>
    <x v="3"/>
    <n v="4"/>
    <n v="12"/>
    <n v="2"/>
    <n v="1"/>
    <n v="2"/>
    <n v="1"/>
    <n v="1"/>
    <n v="1"/>
    <n v="1"/>
  </r>
  <r>
    <x v="0"/>
    <n v="5"/>
    <n v="7"/>
    <n v="5"/>
    <n v="5"/>
    <n v="5"/>
    <n v="7"/>
    <n v="1"/>
    <n v="0"/>
    <n v="0"/>
  </r>
  <r>
    <x v="1"/>
    <n v="5"/>
    <n v="8"/>
    <n v="4"/>
    <n v="3"/>
    <n v="4"/>
    <n v="6"/>
    <n v="1"/>
    <n v="0"/>
    <n v="0"/>
  </r>
  <r>
    <x v="2"/>
    <n v="5"/>
    <n v="10"/>
    <n v="3"/>
    <n v="3"/>
    <n v="3"/>
    <n v="5"/>
    <n v="1"/>
    <n v="0"/>
    <n v="0"/>
  </r>
  <r>
    <x v="3"/>
    <n v="5"/>
    <n v="13"/>
    <n v="3"/>
    <n v="9"/>
    <n v="4"/>
    <n v="9"/>
    <n v="0"/>
    <n v="1"/>
    <n v="0"/>
  </r>
  <r>
    <x v="0"/>
    <n v="4"/>
    <n v="6"/>
    <n v="3"/>
    <n v="8"/>
    <n v="3"/>
    <n v="8"/>
    <n v="1"/>
    <n v="1"/>
    <n v="1"/>
  </r>
  <r>
    <x v="1"/>
    <n v="4"/>
    <n v="7"/>
    <n v="7"/>
    <n v="1"/>
    <n v="7"/>
    <n v="1"/>
    <n v="1"/>
    <n v="1"/>
    <n v="1"/>
  </r>
  <r>
    <x v="2"/>
    <n v="4"/>
    <n v="9"/>
    <n v="5"/>
    <n v="9"/>
    <n v="5"/>
    <n v="9"/>
    <n v="1"/>
    <n v="1"/>
    <n v="1"/>
  </r>
  <r>
    <x v="3"/>
    <n v="4"/>
    <n v="12"/>
    <n v="2"/>
    <n v="3"/>
    <n v="2"/>
    <n v="3"/>
    <n v="1"/>
    <n v="1"/>
    <n v="1"/>
  </r>
  <r>
    <x v="0"/>
    <n v="5"/>
    <n v="7"/>
    <n v="8"/>
    <n v="8"/>
    <n v="8"/>
    <n v="9"/>
    <n v="1"/>
    <n v="0"/>
    <n v="0"/>
  </r>
  <r>
    <x v="1"/>
    <n v="5"/>
    <n v="8"/>
    <n v="7"/>
    <n v="2"/>
    <n v="7"/>
    <n v="2"/>
    <n v="1"/>
    <n v="1"/>
    <n v="1"/>
  </r>
  <r>
    <x v="2"/>
    <n v="5"/>
    <n v="10"/>
    <n v="1"/>
    <n v="1"/>
    <n v="1"/>
    <n v="7"/>
    <n v="1"/>
    <n v="0"/>
    <n v="0"/>
  </r>
  <r>
    <x v="3"/>
    <n v="5"/>
    <n v="13"/>
    <n v="9"/>
    <n v="3"/>
    <n v="9"/>
    <n v="7"/>
    <n v="1"/>
    <n v="0"/>
    <n v="0"/>
  </r>
  <r>
    <x v="0"/>
    <n v="4"/>
    <n v="6"/>
    <n v="6"/>
    <n v="2"/>
    <n v="5"/>
    <n v="6"/>
    <n v="0"/>
    <n v="0"/>
    <n v="0"/>
  </r>
  <r>
    <x v="1"/>
    <n v="4"/>
    <n v="7"/>
    <n v="1"/>
    <n v="9"/>
    <n v="1"/>
    <n v="9"/>
    <n v="1"/>
    <n v="1"/>
    <n v="1"/>
  </r>
  <r>
    <x v="2"/>
    <n v="4"/>
    <n v="9"/>
    <n v="1"/>
    <n v="3"/>
    <n v="1"/>
    <n v="3"/>
    <n v="1"/>
    <n v="1"/>
    <n v="1"/>
  </r>
  <r>
    <x v="3"/>
    <n v="4"/>
    <n v="12"/>
    <n v="4"/>
    <n v="3"/>
    <n v="4"/>
    <n v="7"/>
    <n v="1"/>
    <n v="0"/>
    <n v="0"/>
  </r>
  <r>
    <x v="0"/>
    <n v="5"/>
    <n v="7"/>
    <n v="2"/>
    <n v="3"/>
    <n v="2"/>
    <n v="3"/>
    <n v="1"/>
    <n v="1"/>
    <n v="1"/>
  </r>
  <r>
    <x v="1"/>
    <n v="5"/>
    <n v="8"/>
    <n v="5"/>
    <n v="4"/>
    <n v="5"/>
    <n v="6"/>
    <n v="1"/>
    <n v="0"/>
    <n v="0"/>
  </r>
  <r>
    <x v="2"/>
    <n v="5"/>
    <n v="10"/>
    <n v="6"/>
    <n v="8"/>
    <n v="6"/>
    <n v="7"/>
    <n v="1"/>
    <n v="0"/>
    <n v="0"/>
  </r>
  <r>
    <x v="3"/>
    <n v="5"/>
    <n v="13"/>
    <n v="4"/>
    <n v="6"/>
    <n v="8"/>
    <n v="7"/>
    <n v="0"/>
    <n v="0"/>
    <n v="0"/>
  </r>
  <r>
    <x v="0"/>
    <n v="4"/>
    <n v="6"/>
    <n v="7"/>
    <n v="4"/>
    <n v="7"/>
    <n v="4"/>
    <n v="1"/>
    <n v="1"/>
    <n v="1"/>
  </r>
  <r>
    <x v="1"/>
    <n v="4"/>
    <n v="7"/>
    <n v="4"/>
    <n v="2"/>
    <n v="4"/>
    <n v="2"/>
    <n v="1"/>
    <n v="1"/>
    <n v="1"/>
  </r>
  <r>
    <x v="2"/>
    <n v="4"/>
    <n v="9"/>
    <n v="1"/>
    <n v="1"/>
    <n v="1"/>
    <n v="1"/>
    <n v="1"/>
    <n v="1"/>
    <n v="1"/>
  </r>
  <r>
    <x v="3"/>
    <n v="4"/>
    <n v="12"/>
    <n v="1"/>
    <n v="8"/>
    <n v="1"/>
    <n v="8"/>
    <n v="1"/>
    <n v="1"/>
    <n v="1"/>
  </r>
  <r>
    <x v="0"/>
    <n v="5"/>
    <n v="7"/>
    <n v="1"/>
    <n v="6"/>
    <n v="1"/>
    <n v="6"/>
    <n v="1"/>
    <n v="1"/>
    <n v="1"/>
  </r>
  <r>
    <x v="1"/>
    <n v="5"/>
    <n v="8"/>
    <n v="6"/>
    <n v="9"/>
    <n v="7"/>
    <n v="6"/>
    <n v="0"/>
    <n v="0"/>
    <n v="0"/>
  </r>
  <r>
    <x v="2"/>
    <n v="5"/>
    <n v="10"/>
    <n v="7"/>
    <n v="5"/>
    <n v="7"/>
    <n v="9"/>
    <n v="1"/>
    <n v="0"/>
    <n v="0"/>
  </r>
  <r>
    <x v="3"/>
    <n v="5"/>
    <n v="13"/>
    <n v="5"/>
    <n v="8"/>
    <n v="5"/>
    <n v="8"/>
    <n v="1"/>
    <n v="1"/>
    <n v="1"/>
  </r>
  <r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B3AFD-DF20-4B16-A214-5E55A5BDD3B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 rowHeaderCaption="Lag">
  <location ref="A3:D8" firstHeaderRow="0" firstDataRow="1" firstDataCol="1"/>
  <pivotFields count="10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nditional accuracy" fld="9" subtotal="average" baseField="0" baseItem="0"/>
    <dataField name="Average of t1_correct" fld="7" subtotal="average" baseField="0" baseItem="0"/>
    <dataField name="Average of t2_correct" fld="8" subtotal="average" baseField="0" baseItem="0"/>
  </dataFields>
  <formats count="4">
    <format dxfId="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workbookViewId="0">
      <selection activeCell="M15" sqref="M15"/>
    </sheetView>
  </sheetViews>
  <sheetFormatPr defaultRowHeight="15" x14ac:dyDescent="0.25"/>
  <cols>
    <col min="4" max="4" width="11" customWidth="1"/>
    <col min="5" max="5" width="11.5703125" customWidth="1"/>
    <col min="6" max="6" width="15.5703125" customWidth="1"/>
    <col min="7" max="7" width="12.7109375" customWidth="1"/>
    <col min="8" max="8" width="14.140625" customWidth="1"/>
    <col min="9" max="9" width="15.42578125" customWidth="1"/>
    <col min="10" max="10" width="19.5703125" customWidth="1"/>
    <col min="11" max="11" width="12.28515625" customWidth="1"/>
    <col min="12" max="12" width="15" customWidth="1"/>
    <col min="13" max="13" width="14.140625" customWidth="1"/>
    <col min="14" max="14" width="9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4" t="s">
        <v>15</v>
      </c>
      <c r="M1" s="4" t="s">
        <v>16</v>
      </c>
    </row>
    <row r="2" spans="1:13" x14ac:dyDescent="0.25">
      <c r="A2">
        <v>2</v>
      </c>
      <c r="B2">
        <v>4</v>
      </c>
      <c r="C2">
        <v>6</v>
      </c>
      <c r="D2">
        <v>7</v>
      </c>
      <c r="E2">
        <v>8</v>
      </c>
      <c r="F2">
        <v>7</v>
      </c>
      <c r="G2">
        <v>8</v>
      </c>
      <c r="H2">
        <f>IF(F2 = D2, 1, 0)</f>
        <v>1</v>
      </c>
      <c r="I2">
        <f>IF(G2 = E2, 1, 0)</f>
        <v>1</v>
      </c>
      <c r="J2">
        <f>IF(AND(F2 = D2, G2 = E2), 1, 0)</f>
        <v>1</v>
      </c>
      <c r="L2">
        <f>AVERAGE(J2:J41)</f>
        <v>0.42499999999999999</v>
      </c>
      <c r="M2">
        <f>AVERAGE(J42:J81)</f>
        <v>0.52500000000000002</v>
      </c>
    </row>
    <row r="3" spans="1:13" x14ac:dyDescent="0.25">
      <c r="A3">
        <v>2</v>
      </c>
      <c r="B3">
        <v>5</v>
      </c>
      <c r="C3">
        <v>7</v>
      </c>
      <c r="D3">
        <v>8</v>
      </c>
      <c r="E3">
        <v>3</v>
      </c>
      <c r="F3">
        <v>8</v>
      </c>
      <c r="G3">
        <v>3</v>
      </c>
      <c r="H3">
        <f>IF(F3 = D3, 1, 0)</f>
        <v>1</v>
      </c>
      <c r="I3">
        <f>IF(G3 = E3, 1, 0)</f>
        <v>1</v>
      </c>
      <c r="J3">
        <f>IF(AND(F3 = D3, G3 = E3), 1, 0)</f>
        <v>1</v>
      </c>
      <c r="K3" s="5" t="s">
        <v>24</v>
      </c>
      <c r="L3">
        <f>L5/SQRT(L7)</f>
        <v>7.9158231669395188E-2</v>
      </c>
      <c r="M3">
        <f>M5/SQRT(M7)</f>
        <v>7.9963934178045329E-2</v>
      </c>
    </row>
    <row r="4" spans="1:13" x14ac:dyDescent="0.25">
      <c r="A4">
        <v>2</v>
      </c>
      <c r="B4">
        <v>4</v>
      </c>
      <c r="C4">
        <v>6</v>
      </c>
      <c r="D4">
        <v>8</v>
      </c>
      <c r="E4">
        <v>3</v>
      </c>
      <c r="F4">
        <v>8</v>
      </c>
      <c r="G4">
        <v>9</v>
      </c>
      <c r="H4">
        <f>IF(F4 = D4, 1, 0)</f>
        <v>1</v>
      </c>
      <c r="I4">
        <f>IF(G4 = E4, 1, 0)</f>
        <v>0</v>
      </c>
      <c r="J4">
        <f>IF(AND(F4 = D4, G4 = E4), 1, 0)</f>
        <v>0</v>
      </c>
      <c r="L4" s="4" t="s">
        <v>19</v>
      </c>
      <c r="M4" s="4" t="s">
        <v>20</v>
      </c>
    </row>
    <row r="5" spans="1:13" x14ac:dyDescent="0.25">
      <c r="A5">
        <v>2</v>
      </c>
      <c r="B5">
        <v>5</v>
      </c>
      <c r="C5">
        <v>7</v>
      </c>
      <c r="D5">
        <v>7</v>
      </c>
      <c r="E5">
        <v>2</v>
      </c>
      <c r="F5">
        <v>7</v>
      </c>
      <c r="G5">
        <v>8</v>
      </c>
      <c r="H5">
        <f>IF(F5 = D5, 1, 0)</f>
        <v>1</v>
      </c>
      <c r="I5">
        <f>IF(G5 = E5, 1, 0)</f>
        <v>0</v>
      </c>
      <c r="J5">
        <f>IF(AND(F5 = D5, G5 = E5), 1, 0)</f>
        <v>0</v>
      </c>
      <c r="L5" cm="1">
        <f t="array" ref="L5">_xlfn.STDEV.S(IF(A2:A161=2, J2:J161))</f>
        <v>0.50064061525312309</v>
      </c>
      <c r="M5" cm="1">
        <f t="array" ref="M5">_xlfn.STDEV.S(IF(A2:A161=3, J2:J161))</f>
        <v>0.50573632534081503</v>
      </c>
    </row>
    <row r="6" spans="1:13" x14ac:dyDescent="0.25">
      <c r="A6">
        <v>2</v>
      </c>
      <c r="B6">
        <v>4</v>
      </c>
      <c r="C6">
        <v>6</v>
      </c>
      <c r="D6">
        <v>5</v>
      </c>
      <c r="E6">
        <v>7</v>
      </c>
      <c r="F6">
        <v>5</v>
      </c>
      <c r="G6">
        <v>7</v>
      </c>
      <c r="H6">
        <f>IF(F6 = D6, 1, 0)</f>
        <v>1</v>
      </c>
      <c r="I6">
        <f>IF(G6 = E6, 1, 0)</f>
        <v>1</v>
      </c>
      <c r="J6">
        <f>IF(AND(F6 = D6, G6 = E6), 1, 0)</f>
        <v>1</v>
      </c>
      <c r="L6" t="s">
        <v>23</v>
      </c>
      <c r="M6" t="s">
        <v>23</v>
      </c>
    </row>
    <row r="7" spans="1:13" x14ac:dyDescent="0.25">
      <c r="A7">
        <v>2</v>
      </c>
      <c r="B7">
        <v>5</v>
      </c>
      <c r="C7">
        <v>7</v>
      </c>
      <c r="D7">
        <v>7</v>
      </c>
      <c r="E7">
        <v>2</v>
      </c>
      <c r="F7">
        <v>7</v>
      </c>
      <c r="G7">
        <v>8</v>
      </c>
      <c r="H7">
        <f>IF(F7 = D7, 1, 0)</f>
        <v>1</v>
      </c>
      <c r="I7">
        <f>IF(G7 = E7, 1, 0)</f>
        <v>0</v>
      </c>
      <c r="J7">
        <f>IF(AND(F7 = D7, G7 = E7), 1, 0)</f>
        <v>0</v>
      </c>
      <c r="L7">
        <f>COUNTIF(A2:A162, 2)</f>
        <v>40</v>
      </c>
      <c r="M7">
        <f>COUNTIF(A2:A161, 3)</f>
        <v>40</v>
      </c>
    </row>
    <row r="8" spans="1:13" x14ac:dyDescent="0.25">
      <c r="A8">
        <v>2</v>
      </c>
      <c r="B8">
        <v>4</v>
      </c>
      <c r="C8">
        <v>6</v>
      </c>
      <c r="D8">
        <v>5</v>
      </c>
      <c r="E8">
        <v>8</v>
      </c>
      <c r="F8">
        <v>8</v>
      </c>
      <c r="G8">
        <v>9</v>
      </c>
      <c r="H8">
        <f>IF(F8 = D8, 1, 0)</f>
        <v>0</v>
      </c>
      <c r="I8">
        <f>IF(G8 = E8, 1, 0)</f>
        <v>0</v>
      </c>
      <c r="J8">
        <f>IF(AND(F8 = D8, G8 = E8), 1, 0)</f>
        <v>0</v>
      </c>
    </row>
    <row r="9" spans="1:13" x14ac:dyDescent="0.25">
      <c r="A9">
        <v>2</v>
      </c>
      <c r="B9">
        <v>5</v>
      </c>
      <c r="C9">
        <v>7</v>
      </c>
      <c r="D9">
        <v>2</v>
      </c>
      <c r="E9">
        <v>8</v>
      </c>
      <c r="F9">
        <v>2</v>
      </c>
      <c r="G9">
        <v>8</v>
      </c>
      <c r="H9">
        <f>IF(F9 = D9, 1, 0)</f>
        <v>1</v>
      </c>
      <c r="I9">
        <f>IF(G9 = E9, 1, 0)</f>
        <v>1</v>
      </c>
      <c r="J9">
        <f>IF(AND(F9 = D9, G9 = E9), 1, 0)</f>
        <v>1</v>
      </c>
      <c r="L9" s="4" t="s">
        <v>17</v>
      </c>
      <c r="M9" s="4" t="s">
        <v>18</v>
      </c>
    </row>
    <row r="10" spans="1:13" x14ac:dyDescent="0.25">
      <c r="A10">
        <v>2</v>
      </c>
      <c r="B10">
        <v>4</v>
      </c>
      <c r="C10">
        <v>6</v>
      </c>
      <c r="D10">
        <v>5</v>
      </c>
      <c r="E10">
        <v>3</v>
      </c>
      <c r="F10">
        <v>2</v>
      </c>
      <c r="G10">
        <v>5</v>
      </c>
      <c r="H10">
        <f>IF(F10 = D10, 1, 0)</f>
        <v>0</v>
      </c>
      <c r="I10">
        <f>IF(G10 = E10, 1, 0)</f>
        <v>0</v>
      </c>
      <c r="J10">
        <f>IF(AND(F10 = D10, G10 = E10), 1, 0)</f>
        <v>0</v>
      </c>
      <c r="L10">
        <f>AVERAGE(J82:J121)</f>
        <v>0.72499999999999998</v>
      </c>
      <c r="M10">
        <f>AVERAGE(J122:J161)</f>
        <v>0.625</v>
      </c>
    </row>
    <row r="11" spans="1:13" x14ac:dyDescent="0.25">
      <c r="A11">
        <v>2</v>
      </c>
      <c r="B11">
        <v>5</v>
      </c>
      <c r="C11">
        <v>7</v>
      </c>
      <c r="D11">
        <v>1</v>
      </c>
      <c r="E11">
        <v>9</v>
      </c>
      <c r="F11">
        <v>3</v>
      </c>
      <c r="G11">
        <v>1</v>
      </c>
      <c r="H11">
        <f>IF(F11 = D11, 1, 0)</f>
        <v>0</v>
      </c>
      <c r="I11">
        <f>IF(G11 = E11, 1, 0)</f>
        <v>0</v>
      </c>
      <c r="J11">
        <f>IF(AND(F11 = D11, G11 = E11), 1, 0)</f>
        <v>0</v>
      </c>
      <c r="K11" s="5" t="s">
        <v>24</v>
      </c>
      <c r="L11">
        <f>L13/SQRT(L15)</f>
        <v>7.1499506901652743E-2</v>
      </c>
      <c r="M11">
        <f>M13/SQRT(M15)</f>
        <v>7.7521709118255289E-2</v>
      </c>
    </row>
    <row r="12" spans="1:13" x14ac:dyDescent="0.25">
      <c r="A12">
        <v>2</v>
      </c>
      <c r="B12">
        <v>4</v>
      </c>
      <c r="C12">
        <v>6</v>
      </c>
      <c r="D12">
        <v>1</v>
      </c>
      <c r="E12">
        <v>4</v>
      </c>
      <c r="F12">
        <v>1</v>
      </c>
      <c r="G12">
        <v>4</v>
      </c>
      <c r="H12">
        <f>IF(F12 = D12, 1, 0)</f>
        <v>1</v>
      </c>
      <c r="I12">
        <f>IF(G12 = E12, 1, 0)</f>
        <v>1</v>
      </c>
      <c r="J12">
        <f>IF(AND(F12 = D12, G12 = E12), 1, 0)</f>
        <v>1</v>
      </c>
      <c r="L12" s="4" t="s">
        <v>21</v>
      </c>
      <c r="M12" s="4" t="s">
        <v>22</v>
      </c>
    </row>
    <row r="13" spans="1:13" x14ac:dyDescent="0.25">
      <c r="A13">
        <v>2</v>
      </c>
      <c r="B13">
        <v>5</v>
      </c>
      <c r="C13">
        <v>7</v>
      </c>
      <c r="D13">
        <v>9</v>
      </c>
      <c r="E13">
        <v>2</v>
      </c>
      <c r="F13">
        <v>2</v>
      </c>
      <c r="G13">
        <v>9</v>
      </c>
      <c r="H13">
        <f>IF(F13 = D13, 1, 0)</f>
        <v>0</v>
      </c>
      <c r="I13">
        <f>IF(G13 = E13, 1, 0)</f>
        <v>0</v>
      </c>
      <c r="J13">
        <f>IF(AND(F13 = D13, G13 = E13), 1, 0)</f>
        <v>0</v>
      </c>
      <c r="L13" cm="1">
        <f t="array" ref="L13">_xlfn.STDEV.S(IF(A2:A161=5, J2:J161))</f>
        <v>0.45220258677630265</v>
      </c>
      <c r="M13" cm="1">
        <f t="array" ref="M13">_xlfn.STDEV.S(IF(A2:A161=8, J2:J161))</f>
        <v>0.49029033784546011</v>
      </c>
    </row>
    <row r="14" spans="1:13" x14ac:dyDescent="0.25">
      <c r="A14">
        <v>2</v>
      </c>
      <c r="B14">
        <v>4</v>
      </c>
      <c r="C14">
        <v>6</v>
      </c>
      <c r="D14">
        <v>1</v>
      </c>
      <c r="E14">
        <v>8</v>
      </c>
      <c r="F14">
        <v>1</v>
      </c>
      <c r="G14">
        <v>8</v>
      </c>
      <c r="H14">
        <f>IF(F14 = D14, 1, 0)</f>
        <v>1</v>
      </c>
      <c r="I14">
        <f>IF(G14 = E14, 1, 0)</f>
        <v>1</v>
      </c>
      <c r="J14">
        <f>IF(AND(F14 = D14, G14 = E14), 1, 0)</f>
        <v>1</v>
      </c>
      <c r="L14" t="s">
        <v>23</v>
      </c>
      <c r="M14" t="s">
        <v>23</v>
      </c>
    </row>
    <row r="15" spans="1:13" x14ac:dyDescent="0.25">
      <c r="A15">
        <v>2</v>
      </c>
      <c r="B15">
        <v>5</v>
      </c>
      <c r="C15">
        <v>7</v>
      </c>
      <c r="D15">
        <v>1</v>
      </c>
      <c r="E15">
        <v>1</v>
      </c>
      <c r="F15">
        <v>7</v>
      </c>
      <c r="G15">
        <v>1</v>
      </c>
      <c r="H15">
        <f>IF(F15 = D15, 1, 0)</f>
        <v>0</v>
      </c>
      <c r="I15">
        <f>IF(G15 = E15, 1, 0)</f>
        <v>1</v>
      </c>
      <c r="J15">
        <f>IF(AND(F15 = D15, G15 = E15), 1, 0)</f>
        <v>0</v>
      </c>
      <c r="L15">
        <f>COUNTIF(A2:A161, 5)</f>
        <v>40</v>
      </c>
      <c r="M15">
        <f>COUNTIF(A2:A161, 8)</f>
        <v>40</v>
      </c>
    </row>
    <row r="16" spans="1:13" x14ac:dyDescent="0.25">
      <c r="A16">
        <v>2</v>
      </c>
      <c r="B16">
        <v>4</v>
      </c>
      <c r="C16">
        <v>6</v>
      </c>
      <c r="D16">
        <v>3</v>
      </c>
      <c r="E16">
        <v>3</v>
      </c>
      <c r="F16">
        <v>3</v>
      </c>
      <c r="G16">
        <v>2</v>
      </c>
      <c r="H16">
        <f>IF(F16 = D16, 1, 0)</f>
        <v>1</v>
      </c>
      <c r="I16">
        <f>IF(G16 = E16, 1, 0)</f>
        <v>0</v>
      </c>
      <c r="J16">
        <f>IF(AND(F16 = D16, G16 = E16), 1, 0)</f>
        <v>0</v>
      </c>
    </row>
    <row r="17" spans="1:10" x14ac:dyDescent="0.25">
      <c r="A17">
        <v>2</v>
      </c>
      <c r="B17">
        <v>5</v>
      </c>
      <c r="C17">
        <v>7</v>
      </c>
      <c r="D17">
        <v>4</v>
      </c>
      <c r="E17">
        <v>9</v>
      </c>
      <c r="F17">
        <v>4</v>
      </c>
      <c r="G17">
        <v>5</v>
      </c>
      <c r="H17">
        <f>IF(F17 = D17, 1, 0)</f>
        <v>1</v>
      </c>
      <c r="I17">
        <f>IF(G17 = E17, 1, 0)</f>
        <v>0</v>
      </c>
      <c r="J17">
        <f>IF(AND(F17 = D17, G17 = E17), 1, 0)</f>
        <v>0</v>
      </c>
    </row>
    <row r="18" spans="1:10" x14ac:dyDescent="0.25">
      <c r="A18">
        <v>2</v>
      </c>
      <c r="B18">
        <v>4</v>
      </c>
      <c r="C18">
        <v>6</v>
      </c>
      <c r="D18">
        <v>9</v>
      </c>
      <c r="E18">
        <v>7</v>
      </c>
      <c r="F18">
        <v>9</v>
      </c>
      <c r="G18">
        <v>7</v>
      </c>
      <c r="H18">
        <f>IF(F18 = D18, 1, 0)</f>
        <v>1</v>
      </c>
      <c r="I18">
        <f>IF(G18 = E18, 1, 0)</f>
        <v>1</v>
      </c>
      <c r="J18">
        <f>IF(AND(F18 = D18, G18 = E18), 1, 0)</f>
        <v>1</v>
      </c>
    </row>
    <row r="19" spans="1:10" x14ac:dyDescent="0.25">
      <c r="A19">
        <v>2</v>
      </c>
      <c r="B19">
        <v>5</v>
      </c>
      <c r="C19">
        <v>7</v>
      </c>
      <c r="D19">
        <v>7</v>
      </c>
      <c r="E19">
        <v>8</v>
      </c>
      <c r="F19">
        <v>6</v>
      </c>
      <c r="G19">
        <v>8</v>
      </c>
      <c r="H19">
        <f>IF(F19 = D19, 1, 0)</f>
        <v>0</v>
      </c>
      <c r="I19">
        <f>IF(G19 = E19, 1, 0)</f>
        <v>1</v>
      </c>
      <c r="J19">
        <f>IF(AND(F19 = D19, G19 = E19), 1, 0)</f>
        <v>0</v>
      </c>
    </row>
    <row r="20" spans="1:10" x14ac:dyDescent="0.25">
      <c r="A20">
        <v>2</v>
      </c>
      <c r="B20">
        <v>4</v>
      </c>
      <c r="C20">
        <v>6</v>
      </c>
      <c r="D20">
        <v>4</v>
      </c>
      <c r="E20">
        <v>7</v>
      </c>
      <c r="F20">
        <v>12</v>
      </c>
      <c r="G20">
        <v>1</v>
      </c>
      <c r="H20">
        <f>IF(F20 = D20, 1, 0)</f>
        <v>0</v>
      </c>
      <c r="I20">
        <f>IF(G20 = E20, 1, 0)</f>
        <v>0</v>
      </c>
      <c r="J20">
        <f>IF(AND(F20 = D20, G20 = E20), 1, 0)</f>
        <v>0</v>
      </c>
    </row>
    <row r="21" spans="1:10" x14ac:dyDescent="0.25">
      <c r="A21">
        <v>2</v>
      </c>
      <c r="B21">
        <v>5</v>
      </c>
      <c r="C21">
        <v>7</v>
      </c>
      <c r="D21">
        <v>3</v>
      </c>
      <c r="E21">
        <v>1</v>
      </c>
      <c r="F21">
        <v>3</v>
      </c>
      <c r="G21">
        <v>6</v>
      </c>
      <c r="H21">
        <f>IF(F21 = D21, 1, 0)</f>
        <v>1</v>
      </c>
      <c r="I21">
        <f>IF(G21 = E21, 1, 0)</f>
        <v>0</v>
      </c>
      <c r="J21">
        <f>IF(AND(F21 = D21, G21 = E21), 1, 0)</f>
        <v>0</v>
      </c>
    </row>
    <row r="22" spans="1:10" x14ac:dyDescent="0.25">
      <c r="A22">
        <v>2</v>
      </c>
      <c r="B22">
        <v>4</v>
      </c>
      <c r="C22">
        <v>6</v>
      </c>
      <c r="D22">
        <v>5</v>
      </c>
      <c r="E22">
        <v>1</v>
      </c>
      <c r="F22">
        <v>5</v>
      </c>
      <c r="G22">
        <v>1</v>
      </c>
      <c r="H22">
        <f>IF(F22 = D22, 1, 0)</f>
        <v>1</v>
      </c>
      <c r="I22">
        <f>IF(G22 = E22, 1, 0)</f>
        <v>1</v>
      </c>
      <c r="J22">
        <f>IF(AND(F22 = D22, G22 = E22), 1, 0)</f>
        <v>1</v>
      </c>
    </row>
    <row r="23" spans="1:10" x14ac:dyDescent="0.25">
      <c r="A23">
        <v>2</v>
      </c>
      <c r="B23">
        <v>5</v>
      </c>
      <c r="C23">
        <v>7</v>
      </c>
      <c r="D23">
        <v>9</v>
      </c>
      <c r="E23">
        <v>4</v>
      </c>
      <c r="F23">
        <v>9</v>
      </c>
      <c r="G23">
        <v>8</v>
      </c>
      <c r="H23">
        <f>IF(F23 = D23, 1, 0)</f>
        <v>1</v>
      </c>
      <c r="I23">
        <f>IF(G23 = E23, 1, 0)</f>
        <v>0</v>
      </c>
      <c r="J23">
        <f>IF(AND(F23 = D23, G23 = E23), 1, 0)</f>
        <v>0</v>
      </c>
    </row>
    <row r="24" spans="1:10" x14ac:dyDescent="0.25">
      <c r="A24">
        <v>2</v>
      </c>
      <c r="B24">
        <v>4</v>
      </c>
      <c r="C24">
        <v>6</v>
      </c>
      <c r="D24">
        <v>9</v>
      </c>
      <c r="E24">
        <v>6</v>
      </c>
      <c r="F24">
        <v>9</v>
      </c>
      <c r="G24">
        <v>7</v>
      </c>
      <c r="H24">
        <f>IF(F24 = D24, 1, 0)</f>
        <v>1</v>
      </c>
      <c r="I24">
        <f>IF(G24 = E24, 1, 0)</f>
        <v>0</v>
      </c>
      <c r="J24">
        <f>IF(AND(F24 = D24, G24 = E24), 1, 0)</f>
        <v>0</v>
      </c>
    </row>
    <row r="25" spans="1:10" x14ac:dyDescent="0.25">
      <c r="A25">
        <v>2</v>
      </c>
      <c r="B25">
        <v>5</v>
      </c>
      <c r="C25">
        <v>7</v>
      </c>
      <c r="D25">
        <v>3</v>
      </c>
      <c r="E25">
        <v>6</v>
      </c>
      <c r="F25">
        <v>3</v>
      </c>
      <c r="G25">
        <v>6</v>
      </c>
      <c r="H25">
        <f>IF(F25 = D25, 1, 0)</f>
        <v>1</v>
      </c>
      <c r="I25">
        <f>IF(G25 = E25, 1, 0)</f>
        <v>1</v>
      </c>
      <c r="J25">
        <f>IF(AND(F25 = D25, G25 = E25), 1, 0)</f>
        <v>1</v>
      </c>
    </row>
    <row r="26" spans="1:10" x14ac:dyDescent="0.25">
      <c r="A26">
        <v>2</v>
      </c>
      <c r="B26">
        <v>4</v>
      </c>
      <c r="C26">
        <v>6</v>
      </c>
      <c r="D26">
        <v>3</v>
      </c>
      <c r="E26">
        <v>3</v>
      </c>
      <c r="F26">
        <v>3</v>
      </c>
      <c r="G26">
        <v>2</v>
      </c>
      <c r="H26">
        <f>IF(F26 = D26, 1, 0)</f>
        <v>1</v>
      </c>
      <c r="I26">
        <f>IF(G26 = E26, 1, 0)</f>
        <v>0</v>
      </c>
      <c r="J26">
        <f>IF(AND(F26 = D26, G26 = E26), 1, 0)</f>
        <v>0</v>
      </c>
    </row>
    <row r="27" spans="1:10" x14ac:dyDescent="0.25">
      <c r="A27">
        <v>2</v>
      </c>
      <c r="B27">
        <v>5</v>
      </c>
      <c r="C27">
        <v>7</v>
      </c>
      <c r="D27">
        <v>2</v>
      </c>
      <c r="E27">
        <v>7</v>
      </c>
      <c r="F27">
        <v>2</v>
      </c>
      <c r="G27">
        <v>9</v>
      </c>
      <c r="H27">
        <f>IF(F27 = D27, 1, 0)</f>
        <v>1</v>
      </c>
      <c r="I27">
        <f>IF(G27 = E27, 1, 0)</f>
        <v>0</v>
      </c>
      <c r="J27">
        <f>IF(AND(F27 = D27, G27 = E27), 1, 0)</f>
        <v>0</v>
      </c>
    </row>
    <row r="28" spans="1:10" x14ac:dyDescent="0.25">
      <c r="A28">
        <v>2</v>
      </c>
      <c r="B28">
        <v>4</v>
      </c>
      <c r="C28">
        <v>6</v>
      </c>
      <c r="D28">
        <v>4</v>
      </c>
      <c r="E28">
        <v>1</v>
      </c>
      <c r="F28">
        <v>4</v>
      </c>
      <c r="G28">
        <v>1</v>
      </c>
      <c r="H28">
        <f>IF(F28 = D28, 1, 0)</f>
        <v>1</v>
      </c>
      <c r="I28">
        <f>IF(G28 = E28, 1, 0)</f>
        <v>1</v>
      </c>
      <c r="J28">
        <f>IF(AND(F28 = D28, G28 = E28), 1, 0)</f>
        <v>1</v>
      </c>
    </row>
    <row r="29" spans="1:10" x14ac:dyDescent="0.25">
      <c r="A29">
        <v>2</v>
      </c>
      <c r="B29">
        <v>5</v>
      </c>
      <c r="C29">
        <v>7</v>
      </c>
      <c r="D29">
        <v>6</v>
      </c>
      <c r="E29">
        <v>6</v>
      </c>
      <c r="F29">
        <v>6</v>
      </c>
      <c r="G29">
        <v>7</v>
      </c>
      <c r="H29">
        <f>IF(F29 = D29, 1, 0)</f>
        <v>1</v>
      </c>
      <c r="I29">
        <f>IF(G29 = E29, 1, 0)</f>
        <v>0</v>
      </c>
      <c r="J29">
        <f>IF(AND(F29 = D29, G29 = E29), 1, 0)</f>
        <v>0</v>
      </c>
    </row>
    <row r="30" spans="1:10" x14ac:dyDescent="0.25">
      <c r="A30">
        <v>2</v>
      </c>
      <c r="B30">
        <v>4</v>
      </c>
      <c r="C30">
        <v>6</v>
      </c>
      <c r="D30">
        <v>3</v>
      </c>
      <c r="E30">
        <v>1</v>
      </c>
      <c r="F30">
        <v>5</v>
      </c>
      <c r="G30">
        <v>7</v>
      </c>
      <c r="H30">
        <f>IF(F30 = D30, 1, 0)</f>
        <v>0</v>
      </c>
      <c r="I30">
        <f>IF(G30 = E30, 1, 0)</f>
        <v>0</v>
      </c>
      <c r="J30">
        <f>IF(AND(F30 = D30, G30 = E30), 1, 0)</f>
        <v>0</v>
      </c>
    </row>
    <row r="31" spans="1:10" x14ac:dyDescent="0.25">
      <c r="A31">
        <v>2</v>
      </c>
      <c r="B31">
        <v>5</v>
      </c>
      <c r="C31">
        <v>7</v>
      </c>
      <c r="D31">
        <v>5</v>
      </c>
      <c r="E31">
        <v>6</v>
      </c>
      <c r="F31">
        <v>5</v>
      </c>
      <c r="G31">
        <v>7</v>
      </c>
      <c r="H31">
        <f>IF(F31 = D31, 1, 0)</f>
        <v>1</v>
      </c>
      <c r="I31">
        <f>IF(G31 = E31, 1, 0)</f>
        <v>0</v>
      </c>
      <c r="J31">
        <f>IF(AND(F31 = D31, G31 = E31), 1, 0)</f>
        <v>0</v>
      </c>
    </row>
    <row r="32" spans="1:10" x14ac:dyDescent="0.25">
      <c r="A32">
        <v>2</v>
      </c>
      <c r="B32">
        <v>4</v>
      </c>
      <c r="C32">
        <v>6</v>
      </c>
      <c r="D32">
        <v>9</v>
      </c>
      <c r="E32">
        <v>3</v>
      </c>
      <c r="F32">
        <v>9</v>
      </c>
      <c r="G32">
        <v>3</v>
      </c>
      <c r="H32">
        <f>IF(F32 = D32, 1, 0)</f>
        <v>1</v>
      </c>
      <c r="I32">
        <f>IF(G32 = E32, 1, 0)</f>
        <v>1</v>
      </c>
      <c r="J32">
        <f>IF(AND(F32 = D32, G32 = E32), 1, 0)</f>
        <v>1</v>
      </c>
    </row>
    <row r="33" spans="1:10" x14ac:dyDescent="0.25">
      <c r="A33">
        <v>2</v>
      </c>
      <c r="B33">
        <v>5</v>
      </c>
      <c r="C33">
        <v>7</v>
      </c>
      <c r="D33">
        <v>6</v>
      </c>
      <c r="E33">
        <v>9</v>
      </c>
      <c r="F33">
        <v>6</v>
      </c>
      <c r="G33">
        <v>9</v>
      </c>
      <c r="H33">
        <f>IF(F33 = D33, 1, 0)</f>
        <v>1</v>
      </c>
      <c r="I33">
        <f>IF(G33 = E33, 1, 0)</f>
        <v>1</v>
      </c>
      <c r="J33">
        <f>IF(AND(F33 = D33, G33 = E33), 1, 0)</f>
        <v>1</v>
      </c>
    </row>
    <row r="34" spans="1:10" x14ac:dyDescent="0.25">
      <c r="A34">
        <v>2</v>
      </c>
      <c r="B34">
        <v>4</v>
      </c>
      <c r="C34">
        <v>6</v>
      </c>
      <c r="D34">
        <v>1</v>
      </c>
      <c r="E34">
        <v>3</v>
      </c>
      <c r="F34">
        <v>1</v>
      </c>
      <c r="G34">
        <v>3</v>
      </c>
      <c r="H34">
        <f>IF(F34 = D34, 1, 0)</f>
        <v>1</v>
      </c>
      <c r="I34">
        <f>IF(G34 = E34, 1, 0)</f>
        <v>1</v>
      </c>
      <c r="J34">
        <f>IF(AND(F34 = D34, G34 = E34), 1, 0)</f>
        <v>1</v>
      </c>
    </row>
    <row r="35" spans="1:10" x14ac:dyDescent="0.25">
      <c r="A35">
        <v>2</v>
      </c>
      <c r="B35">
        <v>5</v>
      </c>
      <c r="C35">
        <v>7</v>
      </c>
      <c r="D35">
        <v>5</v>
      </c>
      <c r="E35">
        <v>5</v>
      </c>
      <c r="F35">
        <v>5</v>
      </c>
      <c r="G35">
        <v>7</v>
      </c>
      <c r="H35">
        <f>IF(F35 = D35, 1, 0)</f>
        <v>1</v>
      </c>
      <c r="I35">
        <f>IF(G35 = E35, 1, 0)</f>
        <v>0</v>
      </c>
      <c r="J35">
        <f>IF(AND(F35 = D35, G35 = E35), 1, 0)</f>
        <v>0</v>
      </c>
    </row>
    <row r="36" spans="1:10" x14ac:dyDescent="0.25">
      <c r="A36">
        <v>2</v>
      </c>
      <c r="B36">
        <v>4</v>
      </c>
      <c r="C36">
        <v>6</v>
      </c>
      <c r="D36">
        <v>3</v>
      </c>
      <c r="E36">
        <v>8</v>
      </c>
      <c r="F36">
        <v>3</v>
      </c>
      <c r="G36">
        <v>8</v>
      </c>
      <c r="H36">
        <f>IF(F36 = D36, 1, 0)</f>
        <v>1</v>
      </c>
      <c r="I36">
        <f>IF(G36 = E36, 1, 0)</f>
        <v>1</v>
      </c>
      <c r="J36">
        <f>IF(AND(F36 = D36, G36 = E36), 1, 0)</f>
        <v>1</v>
      </c>
    </row>
    <row r="37" spans="1:10" x14ac:dyDescent="0.25">
      <c r="A37">
        <v>2</v>
      </c>
      <c r="B37">
        <v>5</v>
      </c>
      <c r="C37">
        <v>7</v>
      </c>
      <c r="D37">
        <v>8</v>
      </c>
      <c r="E37">
        <v>8</v>
      </c>
      <c r="F37">
        <v>8</v>
      </c>
      <c r="G37">
        <v>9</v>
      </c>
      <c r="H37">
        <f>IF(F37 = D37, 1, 0)</f>
        <v>1</v>
      </c>
      <c r="I37">
        <f>IF(G37 = E37, 1, 0)</f>
        <v>0</v>
      </c>
      <c r="J37">
        <f>IF(AND(F37 = D37, G37 = E37), 1, 0)</f>
        <v>0</v>
      </c>
    </row>
    <row r="38" spans="1:10" x14ac:dyDescent="0.25">
      <c r="A38">
        <v>2</v>
      </c>
      <c r="B38">
        <v>4</v>
      </c>
      <c r="C38">
        <v>6</v>
      </c>
      <c r="D38">
        <v>6</v>
      </c>
      <c r="E38">
        <v>2</v>
      </c>
      <c r="F38">
        <v>5</v>
      </c>
      <c r="G38">
        <v>6</v>
      </c>
      <c r="H38">
        <f>IF(F38 = D38, 1, 0)</f>
        <v>0</v>
      </c>
      <c r="I38">
        <f>IF(G38 = E38, 1, 0)</f>
        <v>0</v>
      </c>
      <c r="J38">
        <f>IF(AND(F38 = D38, G38 = E38), 1, 0)</f>
        <v>0</v>
      </c>
    </row>
    <row r="39" spans="1:10" x14ac:dyDescent="0.25">
      <c r="A39">
        <v>2</v>
      </c>
      <c r="B39">
        <v>5</v>
      </c>
      <c r="C39">
        <v>7</v>
      </c>
      <c r="D39">
        <v>2</v>
      </c>
      <c r="E39">
        <v>3</v>
      </c>
      <c r="F39">
        <v>2</v>
      </c>
      <c r="G39">
        <v>3</v>
      </c>
      <c r="H39">
        <f>IF(F39 = D39, 1, 0)</f>
        <v>1</v>
      </c>
      <c r="I39">
        <f>IF(G39 = E39, 1, 0)</f>
        <v>1</v>
      </c>
      <c r="J39">
        <f>IF(AND(F39 = D39, G39 = E39), 1, 0)</f>
        <v>1</v>
      </c>
    </row>
    <row r="40" spans="1:10" x14ac:dyDescent="0.25">
      <c r="A40">
        <v>2</v>
      </c>
      <c r="B40">
        <v>4</v>
      </c>
      <c r="C40">
        <v>6</v>
      </c>
      <c r="D40">
        <v>7</v>
      </c>
      <c r="E40">
        <v>4</v>
      </c>
      <c r="F40">
        <v>7</v>
      </c>
      <c r="G40">
        <v>4</v>
      </c>
      <c r="H40">
        <f>IF(F40 = D40, 1, 0)</f>
        <v>1</v>
      </c>
      <c r="I40">
        <f>IF(G40 = E40, 1, 0)</f>
        <v>1</v>
      </c>
      <c r="J40">
        <f>IF(AND(F40 = D40, G40 = E40), 1, 0)</f>
        <v>1</v>
      </c>
    </row>
    <row r="41" spans="1:10" x14ac:dyDescent="0.25">
      <c r="A41">
        <v>2</v>
      </c>
      <c r="B41">
        <v>5</v>
      </c>
      <c r="C41">
        <v>7</v>
      </c>
      <c r="D41">
        <v>1</v>
      </c>
      <c r="E41">
        <v>6</v>
      </c>
      <c r="F41">
        <v>1</v>
      </c>
      <c r="G41">
        <v>6</v>
      </c>
      <c r="H41">
        <f>IF(F41 = D41, 1, 0)</f>
        <v>1</v>
      </c>
      <c r="I41">
        <f>IF(G41 = E41, 1, 0)</f>
        <v>1</v>
      </c>
      <c r="J41">
        <f>IF(AND(F41 = D41, G41 = E41), 1, 0)</f>
        <v>1</v>
      </c>
    </row>
    <row r="42" spans="1:10" x14ac:dyDescent="0.25">
      <c r="A42">
        <v>3</v>
      </c>
      <c r="B42">
        <v>4</v>
      </c>
      <c r="C42">
        <v>7</v>
      </c>
      <c r="D42">
        <v>9</v>
      </c>
      <c r="E42">
        <v>9</v>
      </c>
      <c r="F42">
        <v>9</v>
      </c>
      <c r="G42">
        <v>6</v>
      </c>
      <c r="H42">
        <f>IF(F42 = D42, 1, 0)</f>
        <v>1</v>
      </c>
      <c r="I42">
        <f>IF(G42 = E42, 1, 0)</f>
        <v>0</v>
      </c>
      <c r="J42">
        <f>IF(AND(F42 = D42, G42 = E42), 1, 0)</f>
        <v>0</v>
      </c>
    </row>
    <row r="43" spans="1:10" x14ac:dyDescent="0.25">
      <c r="A43">
        <v>3</v>
      </c>
      <c r="B43">
        <v>5</v>
      </c>
      <c r="C43">
        <v>8</v>
      </c>
      <c r="D43">
        <v>9</v>
      </c>
      <c r="E43">
        <v>9</v>
      </c>
      <c r="F43">
        <v>9</v>
      </c>
      <c r="G43">
        <v>8</v>
      </c>
      <c r="H43">
        <f>IF(F43 = D43, 1, 0)</f>
        <v>1</v>
      </c>
      <c r="I43">
        <f>IF(G43 = E43, 1, 0)</f>
        <v>0</v>
      </c>
      <c r="J43">
        <f>IF(AND(F43 = D43, G43 = E43), 1, 0)</f>
        <v>0</v>
      </c>
    </row>
    <row r="44" spans="1:10" x14ac:dyDescent="0.25">
      <c r="A44">
        <v>3</v>
      </c>
      <c r="B44">
        <v>4</v>
      </c>
      <c r="C44">
        <v>7</v>
      </c>
      <c r="D44">
        <v>3</v>
      </c>
      <c r="E44">
        <v>9</v>
      </c>
      <c r="F44">
        <v>8</v>
      </c>
      <c r="G44">
        <v>9</v>
      </c>
      <c r="H44">
        <f>IF(F44 = D44, 1, 0)</f>
        <v>0</v>
      </c>
      <c r="I44">
        <f>IF(G44 = E44, 1, 0)</f>
        <v>1</v>
      </c>
      <c r="J44">
        <f>IF(AND(F44 = D44, G44 = E44), 1, 0)</f>
        <v>0</v>
      </c>
    </row>
    <row r="45" spans="1:10" x14ac:dyDescent="0.25">
      <c r="A45">
        <v>3</v>
      </c>
      <c r="B45">
        <v>5</v>
      </c>
      <c r="C45">
        <v>8</v>
      </c>
      <c r="D45">
        <v>7</v>
      </c>
      <c r="E45">
        <v>2</v>
      </c>
      <c r="F45">
        <v>7</v>
      </c>
      <c r="G45">
        <v>8</v>
      </c>
      <c r="H45">
        <f>IF(F45 = D45, 1, 0)</f>
        <v>1</v>
      </c>
      <c r="I45">
        <f>IF(G45 = E45, 1, 0)</f>
        <v>0</v>
      </c>
      <c r="J45">
        <f>IF(AND(F45 = D45, G45 = E45), 1, 0)</f>
        <v>0</v>
      </c>
    </row>
    <row r="46" spans="1:10" x14ac:dyDescent="0.25">
      <c r="A46">
        <v>3</v>
      </c>
      <c r="B46">
        <v>4</v>
      </c>
      <c r="C46">
        <v>7</v>
      </c>
      <c r="D46">
        <v>4</v>
      </c>
      <c r="E46">
        <v>1</v>
      </c>
      <c r="F46">
        <v>4</v>
      </c>
      <c r="G46">
        <v>1</v>
      </c>
      <c r="H46">
        <f>IF(F46 = D46, 1, 0)</f>
        <v>1</v>
      </c>
      <c r="I46">
        <f>IF(G46 = E46, 1, 0)</f>
        <v>1</v>
      </c>
      <c r="J46">
        <f>IF(AND(F46 = D46, G46 = E46), 1, 0)</f>
        <v>1</v>
      </c>
    </row>
    <row r="47" spans="1:10" x14ac:dyDescent="0.25">
      <c r="A47">
        <v>3</v>
      </c>
      <c r="B47">
        <v>5</v>
      </c>
      <c r="C47">
        <v>8</v>
      </c>
      <c r="D47">
        <v>2</v>
      </c>
      <c r="E47">
        <v>4</v>
      </c>
      <c r="F47">
        <v>8</v>
      </c>
      <c r="G47">
        <v>9</v>
      </c>
      <c r="H47">
        <f>IF(F47 = D47, 1, 0)</f>
        <v>0</v>
      </c>
      <c r="I47">
        <f>IF(G47 = E47, 1, 0)</f>
        <v>0</v>
      </c>
      <c r="J47">
        <f>IF(AND(F47 = D47, G47 = E47), 1, 0)</f>
        <v>0</v>
      </c>
    </row>
    <row r="48" spans="1:10" x14ac:dyDescent="0.25">
      <c r="A48">
        <v>3</v>
      </c>
      <c r="B48">
        <v>4</v>
      </c>
      <c r="C48">
        <v>7</v>
      </c>
      <c r="D48">
        <v>8</v>
      </c>
      <c r="E48">
        <v>8</v>
      </c>
      <c r="F48">
        <v>8</v>
      </c>
      <c r="G48">
        <v>5</v>
      </c>
      <c r="H48">
        <f>IF(F48 = D48, 1, 0)</f>
        <v>1</v>
      </c>
      <c r="I48">
        <f>IF(G48 = E48, 1, 0)</f>
        <v>0</v>
      </c>
      <c r="J48">
        <f>IF(AND(F48 = D48, G48 = E48), 1, 0)</f>
        <v>0</v>
      </c>
    </row>
    <row r="49" spans="1:10" x14ac:dyDescent="0.25">
      <c r="A49">
        <v>3</v>
      </c>
      <c r="B49">
        <v>5</v>
      </c>
      <c r="C49">
        <v>8</v>
      </c>
      <c r="D49">
        <v>8</v>
      </c>
      <c r="E49">
        <v>5</v>
      </c>
      <c r="F49">
        <v>8</v>
      </c>
      <c r="G49">
        <v>5</v>
      </c>
      <c r="H49">
        <f>IF(F49 = D49, 1, 0)</f>
        <v>1</v>
      </c>
      <c r="I49">
        <f>IF(G49 = E49, 1, 0)</f>
        <v>1</v>
      </c>
      <c r="J49">
        <f>IF(AND(F49 = D49, G49 = E49), 1, 0)</f>
        <v>1</v>
      </c>
    </row>
    <row r="50" spans="1:10" x14ac:dyDescent="0.25">
      <c r="A50">
        <v>3</v>
      </c>
      <c r="B50">
        <v>4</v>
      </c>
      <c r="C50">
        <v>7</v>
      </c>
      <c r="D50">
        <v>8</v>
      </c>
      <c r="E50">
        <v>6</v>
      </c>
      <c r="F50">
        <v>8</v>
      </c>
      <c r="G50">
        <v>6</v>
      </c>
      <c r="H50">
        <f>IF(F50 = D50, 1, 0)</f>
        <v>1</v>
      </c>
      <c r="I50">
        <f>IF(G50 = E50, 1, 0)</f>
        <v>1</v>
      </c>
      <c r="J50">
        <f>IF(AND(F50 = D50, G50 = E50), 1, 0)</f>
        <v>1</v>
      </c>
    </row>
    <row r="51" spans="1:10" x14ac:dyDescent="0.25">
      <c r="A51">
        <v>3</v>
      </c>
      <c r="B51">
        <v>5</v>
      </c>
      <c r="C51">
        <v>8</v>
      </c>
      <c r="D51">
        <v>9</v>
      </c>
      <c r="E51">
        <v>7</v>
      </c>
      <c r="F51">
        <v>9</v>
      </c>
      <c r="G51">
        <v>8</v>
      </c>
      <c r="H51">
        <f>IF(F51 = D51, 1, 0)</f>
        <v>1</v>
      </c>
      <c r="I51">
        <f>IF(G51 = E51, 1, 0)</f>
        <v>0</v>
      </c>
      <c r="J51">
        <f>IF(AND(F51 = D51, G51 = E51), 1, 0)</f>
        <v>0</v>
      </c>
    </row>
    <row r="52" spans="1:10" x14ac:dyDescent="0.25">
      <c r="A52">
        <v>3</v>
      </c>
      <c r="B52">
        <v>4</v>
      </c>
      <c r="C52">
        <v>7</v>
      </c>
      <c r="D52">
        <v>5</v>
      </c>
      <c r="E52">
        <v>7</v>
      </c>
      <c r="F52">
        <v>5</v>
      </c>
      <c r="G52">
        <v>7</v>
      </c>
      <c r="H52">
        <f>IF(F52 = D52, 1, 0)</f>
        <v>1</v>
      </c>
      <c r="I52">
        <f>IF(G52 = E52, 1, 0)</f>
        <v>1</v>
      </c>
      <c r="J52">
        <f>IF(AND(F52 = D52, G52 = E52), 1, 0)</f>
        <v>1</v>
      </c>
    </row>
    <row r="53" spans="1:10" x14ac:dyDescent="0.25">
      <c r="A53">
        <v>3</v>
      </c>
      <c r="B53">
        <v>5</v>
      </c>
      <c r="C53">
        <v>8</v>
      </c>
      <c r="D53">
        <v>4</v>
      </c>
      <c r="E53">
        <v>8</v>
      </c>
      <c r="F53">
        <v>4</v>
      </c>
      <c r="G53">
        <v>8</v>
      </c>
      <c r="H53">
        <f>IF(F53 = D53, 1, 0)</f>
        <v>1</v>
      </c>
      <c r="I53">
        <f>IF(G53 = E53, 1, 0)</f>
        <v>1</v>
      </c>
      <c r="J53">
        <f>IF(AND(F53 = D53, G53 = E53), 1, 0)</f>
        <v>1</v>
      </c>
    </row>
    <row r="54" spans="1:10" x14ac:dyDescent="0.25">
      <c r="A54">
        <v>3</v>
      </c>
      <c r="B54">
        <v>4</v>
      </c>
      <c r="C54">
        <v>7</v>
      </c>
      <c r="D54">
        <v>4</v>
      </c>
      <c r="E54">
        <v>6</v>
      </c>
      <c r="F54">
        <v>4</v>
      </c>
      <c r="G54">
        <v>6</v>
      </c>
      <c r="H54">
        <f>IF(F54 = D54, 1, 0)</f>
        <v>1</v>
      </c>
      <c r="I54">
        <f>IF(G54 = E54, 1, 0)</f>
        <v>1</v>
      </c>
      <c r="J54">
        <f>IF(AND(F54 = D54, G54 = E54), 1, 0)</f>
        <v>1</v>
      </c>
    </row>
    <row r="55" spans="1:10" x14ac:dyDescent="0.25">
      <c r="A55">
        <v>3</v>
      </c>
      <c r="B55">
        <v>5</v>
      </c>
      <c r="C55">
        <v>8</v>
      </c>
      <c r="D55">
        <v>9</v>
      </c>
      <c r="E55">
        <v>3</v>
      </c>
      <c r="F55">
        <v>9</v>
      </c>
      <c r="G55">
        <v>8</v>
      </c>
      <c r="H55">
        <f>IF(F55 = D55, 1, 0)</f>
        <v>1</v>
      </c>
      <c r="I55">
        <f>IF(G55 = E55, 1, 0)</f>
        <v>0</v>
      </c>
      <c r="J55">
        <f>IF(AND(F55 = D55, G55 = E55), 1, 0)</f>
        <v>0</v>
      </c>
    </row>
    <row r="56" spans="1:10" x14ac:dyDescent="0.25">
      <c r="A56">
        <v>3</v>
      </c>
      <c r="B56">
        <v>4</v>
      </c>
      <c r="C56">
        <v>7</v>
      </c>
      <c r="D56">
        <v>2</v>
      </c>
      <c r="E56">
        <v>3</v>
      </c>
      <c r="F56">
        <v>2</v>
      </c>
      <c r="G56">
        <v>3</v>
      </c>
      <c r="H56">
        <f>IF(F56 = D56, 1, 0)</f>
        <v>1</v>
      </c>
      <c r="I56">
        <f>IF(G56 = E56, 1, 0)</f>
        <v>1</v>
      </c>
      <c r="J56">
        <f>IF(AND(F56 = D56, G56 = E56), 1, 0)</f>
        <v>1</v>
      </c>
    </row>
    <row r="57" spans="1:10" x14ac:dyDescent="0.25">
      <c r="A57">
        <v>3</v>
      </c>
      <c r="B57">
        <v>5</v>
      </c>
      <c r="C57">
        <v>8</v>
      </c>
      <c r="D57">
        <v>5</v>
      </c>
      <c r="E57">
        <v>9</v>
      </c>
      <c r="F57">
        <v>7</v>
      </c>
      <c r="G57">
        <v>9</v>
      </c>
      <c r="H57">
        <f>IF(F57 = D57, 1, 0)</f>
        <v>0</v>
      </c>
      <c r="I57">
        <f>IF(G57 = E57, 1, 0)</f>
        <v>1</v>
      </c>
      <c r="J57">
        <f>IF(AND(F57 = D57, G57 = E57), 1, 0)</f>
        <v>0</v>
      </c>
    </row>
    <row r="58" spans="1:10" x14ac:dyDescent="0.25">
      <c r="A58">
        <v>3</v>
      </c>
      <c r="B58">
        <v>4</v>
      </c>
      <c r="C58">
        <v>7</v>
      </c>
      <c r="D58">
        <v>9</v>
      </c>
      <c r="E58">
        <v>5</v>
      </c>
      <c r="F58">
        <v>9</v>
      </c>
      <c r="G58">
        <v>6</v>
      </c>
      <c r="H58">
        <f>IF(F58 = D58, 1, 0)</f>
        <v>1</v>
      </c>
      <c r="I58">
        <f>IF(G58 = E58, 1, 0)</f>
        <v>0</v>
      </c>
      <c r="J58">
        <f>IF(AND(F58 = D58, G58 = E58), 1, 0)</f>
        <v>0</v>
      </c>
    </row>
    <row r="59" spans="1:10" x14ac:dyDescent="0.25">
      <c r="A59">
        <v>3</v>
      </c>
      <c r="B59">
        <v>5</v>
      </c>
      <c r="C59">
        <v>8</v>
      </c>
      <c r="D59">
        <v>8</v>
      </c>
      <c r="E59">
        <v>2</v>
      </c>
      <c r="F59">
        <v>8</v>
      </c>
      <c r="G59">
        <v>2</v>
      </c>
      <c r="H59">
        <f>IF(F59 = D59, 1, 0)</f>
        <v>1</v>
      </c>
      <c r="I59">
        <f>IF(G59 = E59, 1, 0)</f>
        <v>1</v>
      </c>
      <c r="J59">
        <f>IF(AND(F59 = D59, G59 = E59), 1, 0)</f>
        <v>1</v>
      </c>
    </row>
    <row r="60" spans="1:10" x14ac:dyDescent="0.25">
      <c r="A60">
        <v>3</v>
      </c>
      <c r="B60">
        <v>4</v>
      </c>
      <c r="C60">
        <v>7</v>
      </c>
      <c r="D60">
        <v>7</v>
      </c>
      <c r="E60">
        <v>1</v>
      </c>
      <c r="F60">
        <v>7</v>
      </c>
      <c r="G60">
        <v>1</v>
      </c>
      <c r="H60">
        <f>IF(F60 = D60, 1, 0)</f>
        <v>1</v>
      </c>
      <c r="I60">
        <f>IF(G60 = E60, 1, 0)</f>
        <v>1</v>
      </c>
      <c r="J60">
        <f>IF(AND(F60 = D60, G60 = E60), 1, 0)</f>
        <v>1</v>
      </c>
    </row>
    <row r="61" spans="1:10" x14ac:dyDescent="0.25">
      <c r="A61">
        <v>3</v>
      </c>
      <c r="B61">
        <v>5</v>
      </c>
      <c r="C61">
        <v>8</v>
      </c>
      <c r="D61">
        <v>9</v>
      </c>
      <c r="E61">
        <v>7</v>
      </c>
      <c r="F61">
        <v>9</v>
      </c>
      <c r="G61">
        <v>7</v>
      </c>
      <c r="H61">
        <f>IF(F61 = D61, 1, 0)</f>
        <v>1</v>
      </c>
      <c r="I61">
        <f>IF(G61 = E61, 1, 0)</f>
        <v>1</v>
      </c>
      <c r="J61">
        <f>IF(AND(F61 = D61, G61 = E61), 1, 0)</f>
        <v>1</v>
      </c>
    </row>
    <row r="62" spans="1:10" x14ac:dyDescent="0.25">
      <c r="A62">
        <v>3</v>
      </c>
      <c r="B62">
        <v>4</v>
      </c>
      <c r="C62">
        <v>7</v>
      </c>
      <c r="D62">
        <v>5</v>
      </c>
      <c r="E62">
        <v>2</v>
      </c>
      <c r="F62">
        <v>5</v>
      </c>
      <c r="G62">
        <v>2</v>
      </c>
      <c r="H62">
        <f>IF(F62 = D62, 1, 0)</f>
        <v>1</v>
      </c>
      <c r="I62">
        <f>IF(G62 = E62, 1, 0)</f>
        <v>1</v>
      </c>
      <c r="J62">
        <f>IF(AND(F62 = D62, G62 = E62), 1, 0)</f>
        <v>1</v>
      </c>
    </row>
    <row r="63" spans="1:10" x14ac:dyDescent="0.25">
      <c r="A63">
        <v>3</v>
      </c>
      <c r="B63">
        <v>5</v>
      </c>
      <c r="C63">
        <v>8</v>
      </c>
      <c r="D63">
        <v>4</v>
      </c>
      <c r="E63">
        <v>1</v>
      </c>
      <c r="F63">
        <v>4</v>
      </c>
      <c r="G63">
        <v>1</v>
      </c>
      <c r="H63">
        <f>IF(F63 = D63, 1, 0)</f>
        <v>1</v>
      </c>
      <c r="I63">
        <f>IF(G63 = E63, 1, 0)</f>
        <v>1</v>
      </c>
      <c r="J63">
        <f>IF(AND(F63 = D63, G63 = E63), 1, 0)</f>
        <v>1</v>
      </c>
    </row>
    <row r="64" spans="1:10" x14ac:dyDescent="0.25">
      <c r="A64">
        <v>3</v>
      </c>
      <c r="B64">
        <v>4</v>
      </c>
      <c r="C64">
        <v>7</v>
      </c>
      <c r="D64">
        <v>1</v>
      </c>
      <c r="E64">
        <v>7</v>
      </c>
      <c r="F64">
        <v>1</v>
      </c>
      <c r="G64">
        <v>2</v>
      </c>
      <c r="H64">
        <f>IF(F64 = D64, 1, 0)</f>
        <v>1</v>
      </c>
      <c r="I64">
        <f>IF(G64 = E64, 1, 0)</f>
        <v>0</v>
      </c>
      <c r="J64">
        <f>IF(AND(F64 = D64, G64 = E64), 1, 0)</f>
        <v>0</v>
      </c>
    </row>
    <row r="65" spans="1:10" x14ac:dyDescent="0.25">
      <c r="A65">
        <v>3</v>
      </c>
      <c r="B65">
        <v>5</v>
      </c>
      <c r="C65">
        <v>8</v>
      </c>
      <c r="D65">
        <v>9</v>
      </c>
      <c r="E65">
        <v>9</v>
      </c>
      <c r="F65">
        <v>9</v>
      </c>
      <c r="G65">
        <v>7</v>
      </c>
      <c r="H65">
        <f>IF(F65 = D65, 1, 0)</f>
        <v>1</v>
      </c>
      <c r="I65">
        <f>IF(G65 = E65, 1, 0)</f>
        <v>0</v>
      </c>
      <c r="J65">
        <f>IF(AND(F65 = D65, G65 = E65), 1, 0)</f>
        <v>0</v>
      </c>
    </row>
    <row r="66" spans="1:10" x14ac:dyDescent="0.25">
      <c r="A66">
        <v>3</v>
      </c>
      <c r="B66">
        <v>4</v>
      </c>
      <c r="C66">
        <v>7</v>
      </c>
      <c r="D66">
        <v>4</v>
      </c>
      <c r="E66">
        <v>4</v>
      </c>
      <c r="F66">
        <v>4</v>
      </c>
      <c r="G66">
        <v>6</v>
      </c>
      <c r="H66">
        <f>IF(F66 = D66, 1, 0)</f>
        <v>1</v>
      </c>
      <c r="I66">
        <f>IF(G66 = E66, 1, 0)</f>
        <v>0</v>
      </c>
      <c r="J66">
        <f>IF(AND(F66 = D66, G66 = E66), 1, 0)</f>
        <v>0</v>
      </c>
    </row>
    <row r="67" spans="1:10" x14ac:dyDescent="0.25">
      <c r="A67">
        <v>3</v>
      </c>
      <c r="B67">
        <v>5</v>
      </c>
      <c r="C67">
        <v>8</v>
      </c>
      <c r="D67">
        <v>3</v>
      </c>
      <c r="E67">
        <v>8</v>
      </c>
      <c r="F67">
        <v>3</v>
      </c>
      <c r="G67">
        <v>8</v>
      </c>
      <c r="H67">
        <f>IF(F67 = D67, 1, 0)</f>
        <v>1</v>
      </c>
      <c r="I67">
        <f>IF(G67 = E67, 1, 0)</f>
        <v>1</v>
      </c>
      <c r="J67">
        <f>IF(AND(F67 = D67, G67 = E67), 1, 0)</f>
        <v>1</v>
      </c>
    </row>
    <row r="68" spans="1:10" x14ac:dyDescent="0.25">
      <c r="A68">
        <v>3</v>
      </c>
      <c r="B68">
        <v>4</v>
      </c>
      <c r="C68">
        <v>7</v>
      </c>
      <c r="D68">
        <v>1</v>
      </c>
      <c r="E68">
        <v>1</v>
      </c>
      <c r="F68">
        <v>1</v>
      </c>
      <c r="G68">
        <v>7</v>
      </c>
      <c r="H68">
        <f>IF(F68 = D68, 1, 0)</f>
        <v>1</v>
      </c>
      <c r="I68">
        <f>IF(G68 = E68, 1, 0)</f>
        <v>0</v>
      </c>
      <c r="J68">
        <f>IF(AND(F68 = D68, G68 = E68), 1, 0)</f>
        <v>0</v>
      </c>
    </row>
    <row r="69" spans="1:10" x14ac:dyDescent="0.25">
      <c r="A69">
        <v>3</v>
      </c>
      <c r="B69">
        <v>5</v>
      </c>
      <c r="C69">
        <v>8</v>
      </c>
      <c r="D69">
        <v>2</v>
      </c>
      <c r="E69">
        <v>9</v>
      </c>
      <c r="F69">
        <v>2</v>
      </c>
      <c r="G69">
        <v>9</v>
      </c>
      <c r="H69">
        <f>IF(F69 = D69, 1, 0)</f>
        <v>1</v>
      </c>
      <c r="I69">
        <f>IF(G69 = E69, 1, 0)</f>
        <v>1</v>
      </c>
      <c r="J69">
        <f>IF(AND(F69 = D69, G69 = E69), 1, 0)</f>
        <v>1</v>
      </c>
    </row>
    <row r="70" spans="1:10" x14ac:dyDescent="0.25">
      <c r="A70">
        <v>3</v>
      </c>
      <c r="B70">
        <v>4</v>
      </c>
      <c r="C70">
        <v>7</v>
      </c>
      <c r="D70">
        <v>3</v>
      </c>
      <c r="E70">
        <v>8</v>
      </c>
      <c r="F70">
        <v>3</v>
      </c>
      <c r="G70">
        <v>8</v>
      </c>
      <c r="H70">
        <f>IF(F70 = D70, 1, 0)</f>
        <v>1</v>
      </c>
      <c r="I70">
        <f>IF(G70 = E70, 1, 0)</f>
        <v>1</v>
      </c>
      <c r="J70">
        <f>IF(AND(F70 = D70, G70 = E70), 1, 0)</f>
        <v>1</v>
      </c>
    </row>
    <row r="71" spans="1:10" x14ac:dyDescent="0.25">
      <c r="A71">
        <v>3</v>
      </c>
      <c r="B71">
        <v>5</v>
      </c>
      <c r="C71">
        <v>8</v>
      </c>
      <c r="D71">
        <v>7</v>
      </c>
      <c r="E71">
        <v>3</v>
      </c>
      <c r="F71">
        <v>7</v>
      </c>
      <c r="G71">
        <v>8</v>
      </c>
      <c r="H71">
        <f>IF(F71 = D71, 1, 0)</f>
        <v>1</v>
      </c>
      <c r="I71">
        <f>IF(G71 = E71, 1, 0)</f>
        <v>0</v>
      </c>
      <c r="J71">
        <f>IF(AND(F71 = D71, G71 = E71), 1, 0)</f>
        <v>0</v>
      </c>
    </row>
    <row r="72" spans="1:10" x14ac:dyDescent="0.25">
      <c r="A72">
        <v>3</v>
      </c>
      <c r="B72">
        <v>4</v>
      </c>
      <c r="C72">
        <v>7</v>
      </c>
      <c r="D72">
        <v>8</v>
      </c>
      <c r="E72">
        <v>1</v>
      </c>
      <c r="F72">
        <v>8</v>
      </c>
      <c r="G72">
        <v>1</v>
      </c>
      <c r="H72">
        <f>IF(F72 = D72, 1, 0)</f>
        <v>1</v>
      </c>
      <c r="I72">
        <f>IF(G72 = E72, 1, 0)</f>
        <v>1</v>
      </c>
      <c r="J72">
        <f>IF(AND(F72 = D72, G72 = E72), 1, 0)</f>
        <v>1</v>
      </c>
    </row>
    <row r="73" spans="1:10" x14ac:dyDescent="0.25">
      <c r="A73">
        <v>3</v>
      </c>
      <c r="B73">
        <v>5</v>
      </c>
      <c r="C73">
        <v>8</v>
      </c>
      <c r="D73">
        <v>3</v>
      </c>
      <c r="E73">
        <v>7</v>
      </c>
      <c r="F73">
        <v>3</v>
      </c>
      <c r="G73">
        <v>7</v>
      </c>
      <c r="H73">
        <f>IF(F73 = D73, 1, 0)</f>
        <v>1</v>
      </c>
      <c r="I73">
        <f>IF(G73 = E73, 1, 0)</f>
        <v>1</v>
      </c>
      <c r="J73">
        <f>IF(AND(F73 = D73, G73 = E73), 1, 0)</f>
        <v>1</v>
      </c>
    </row>
    <row r="74" spans="1:10" x14ac:dyDescent="0.25">
      <c r="A74">
        <v>3</v>
      </c>
      <c r="B74">
        <v>4</v>
      </c>
      <c r="C74">
        <v>7</v>
      </c>
      <c r="D74">
        <v>9</v>
      </c>
      <c r="E74">
        <v>6</v>
      </c>
      <c r="F74">
        <v>1</v>
      </c>
      <c r="G74">
        <v>7</v>
      </c>
      <c r="H74">
        <f>IF(F74 = D74, 1, 0)</f>
        <v>0</v>
      </c>
      <c r="I74">
        <f>IF(G74 = E74, 1, 0)</f>
        <v>0</v>
      </c>
      <c r="J74">
        <f>IF(AND(F74 = D74, G74 = E74), 1, 0)</f>
        <v>0</v>
      </c>
    </row>
    <row r="75" spans="1:10" x14ac:dyDescent="0.25">
      <c r="A75">
        <v>3</v>
      </c>
      <c r="B75">
        <v>5</v>
      </c>
      <c r="C75">
        <v>8</v>
      </c>
      <c r="D75">
        <v>4</v>
      </c>
      <c r="E75">
        <v>3</v>
      </c>
      <c r="F75">
        <v>4</v>
      </c>
      <c r="G75">
        <v>6</v>
      </c>
      <c r="H75">
        <f>IF(F75 = D75, 1, 0)</f>
        <v>1</v>
      </c>
      <c r="I75">
        <f>IF(G75 = E75, 1, 0)</f>
        <v>0</v>
      </c>
      <c r="J75">
        <f>IF(AND(F75 = D75, G75 = E75), 1, 0)</f>
        <v>0</v>
      </c>
    </row>
    <row r="76" spans="1:10" x14ac:dyDescent="0.25">
      <c r="A76">
        <v>3</v>
      </c>
      <c r="B76">
        <v>4</v>
      </c>
      <c r="C76">
        <v>7</v>
      </c>
      <c r="D76">
        <v>7</v>
      </c>
      <c r="E76">
        <v>1</v>
      </c>
      <c r="F76">
        <v>7</v>
      </c>
      <c r="G76">
        <v>1</v>
      </c>
      <c r="H76">
        <f>IF(F76 = D76, 1, 0)</f>
        <v>1</v>
      </c>
      <c r="I76">
        <f>IF(G76 = E76, 1, 0)</f>
        <v>1</v>
      </c>
      <c r="J76">
        <f>IF(AND(F76 = D76, G76 = E76), 1, 0)</f>
        <v>1</v>
      </c>
    </row>
    <row r="77" spans="1:10" x14ac:dyDescent="0.25">
      <c r="A77">
        <v>3</v>
      </c>
      <c r="B77">
        <v>5</v>
      </c>
      <c r="C77">
        <v>8</v>
      </c>
      <c r="D77">
        <v>7</v>
      </c>
      <c r="E77">
        <v>2</v>
      </c>
      <c r="F77">
        <v>7</v>
      </c>
      <c r="G77">
        <v>2</v>
      </c>
      <c r="H77">
        <f>IF(F77 = D77, 1, 0)</f>
        <v>1</v>
      </c>
      <c r="I77">
        <f>IF(G77 = E77, 1, 0)</f>
        <v>1</v>
      </c>
      <c r="J77">
        <f>IF(AND(F77 = D77, G77 = E77), 1, 0)</f>
        <v>1</v>
      </c>
    </row>
    <row r="78" spans="1:10" x14ac:dyDescent="0.25">
      <c r="A78">
        <v>3</v>
      </c>
      <c r="B78">
        <v>4</v>
      </c>
      <c r="C78">
        <v>7</v>
      </c>
      <c r="D78">
        <v>1</v>
      </c>
      <c r="E78">
        <v>9</v>
      </c>
      <c r="F78">
        <v>1</v>
      </c>
      <c r="G78">
        <v>9</v>
      </c>
      <c r="H78">
        <f>IF(F78 = D78, 1, 0)</f>
        <v>1</v>
      </c>
      <c r="I78">
        <f>IF(G78 = E78, 1, 0)</f>
        <v>1</v>
      </c>
      <c r="J78">
        <f>IF(AND(F78 = D78, G78 = E78), 1, 0)</f>
        <v>1</v>
      </c>
    </row>
    <row r="79" spans="1:10" x14ac:dyDescent="0.25">
      <c r="A79">
        <v>3</v>
      </c>
      <c r="B79">
        <v>5</v>
      </c>
      <c r="C79">
        <v>8</v>
      </c>
      <c r="D79">
        <v>5</v>
      </c>
      <c r="E79">
        <v>4</v>
      </c>
      <c r="F79">
        <v>5</v>
      </c>
      <c r="G79">
        <v>6</v>
      </c>
      <c r="H79">
        <f>IF(F79 = D79, 1, 0)</f>
        <v>1</v>
      </c>
      <c r="I79">
        <f>IF(G79 = E79, 1, 0)</f>
        <v>0</v>
      </c>
      <c r="J79">
        <f>IF(AND(F79 = D79, G79 = E79), 1, 0)</f>
        <v>0</v>
      </c>
    </row>
    <row r="80" spans="1:10" x14ac:dyDescent="0.25">
      <c r="A80">
        <v>3</v>
      </c>
      <c r="B80">
        <v>4</v>
      </c>
      <c r="C80">
        <v>7</v>
      </c>
      <c r="D80">
        <v>4</v>
      </c>
      <c r="E80">
        <v>2</v>
      </c>
      <c r="F80">
        <v>4</v>
      </c>
      <c r="G80">
        <v>2</v>
      </c>
      <c r="H80">
        <f>IF(F80 = D80, 1, 0)</f>
        <v>1</v>
      </c>
      <c r="I80">
        <f>IF(G80 = E80, 1, 0)</f>
        <v>1</v>
      </c>
      <c r="J80">
        <f>IF(AND(F80 = D80, G80 = E80), 1, 0)</f>
        <v>1</v>
      </c>
    </row>
    <row r="81" spans="1:10" x14ac:dyDescent="0.25">
      <c r="A81">
        <v>3</v>
      </c>
      <c r="B81">
        <v>5</v>
      </c>
      <c r="C81">
        <v>8</v>
      </c>
      <c r="D81">
        <v>6</v>
      </c>
      <c r="E81">
        <v>9</v>
      </c>
      <c r="F81">
        <v>7</v>
      </c>
      <c r="G81">
        <v>6</v>
      </c>
      <c r="H81">
        <f>IF(F81 = D81, 1, 0)</f>
        <v>0</v>
      </c>
      <c r="I81">
        <f>IF(G81 = E81, 1, 0)</f>
        <v>0</v>
      </c>
      <c r="J81">
        <f>IF(AND(F81 = D81, G81 = E81), 1, 0)</f>
        <v>0</v>
      </c>
    </row>
    <row r="82" spans="1:10" x14ac:dyDescent="0.25">
      <c r="A82">
        <v>5</v>
      </c>
      <c r="B82">
        <v>4</v>
      </c>
      <c r="C82">
        <v>9</v>
      </c>
      <c r="D82">
        <v>3</v>
      </c>
      <c r="E82">
        <v>2</v>
      </c>
      <c r="F82">
        <v>3</v>
      </c>
      <c r="G82">
        <v>2</v>
      </c>
      <c r="H82">
        <f>IF(F82 = D82, 1, 0)</f>
        <v>1</v>
      </c>
      <c r="I82">
        <f>IF(G82 = E82, 1, 0)</f>
        <v>1</v>
      </c>
      <c r="J82">
        <f>IF(AND(F82 = D82, G82 = E82), 1, 0)</f>
        <v>1</v>
      </c>
    </row>
    <row r="83" spans="1:10" x14ac:dyDescent="0.25">
      <c r="A83">
        <v>5</v>
      </c>
      <c r="B83">
        <v>5</v>
      </c>
      <c r="C83">
        <v>10</v>
      </c>
      <c r="D83">
        <v>3</v>
      </c>
      <c r="E83">
        <v>7</v>
      </c>
      <c r="F83">
        <v>3</v>
      </c>
      <c r="G83">
        <v>7</v>
      </c>
      <c r="H83">
        <f>IF(F83 = D83, 1, 0)</f>
        <v>1</v>
      </c>
      <c r="I83">
        <f>IF(G83 = E83, 1, 0)</f>
        <v>1</v>
      </c>
      <c r="J83">
        <f>IF(AND(F83 = D83, G83 = E83), 1, 0)</f>
        <v>1</v>
      </c>
    </row>
    <row r="84" spans="1:10" x14ac:dyDescent="0.25">
      <c r="A84">
        <v>5</v>
      </c>
      <c r="B84">
        <v>4</v>
      </c>
      <c r="C84">
        <v>9</v>
      </c>
      <c r="D84">
        <v>8</v>
      </c>
      <c r="E84">
        <v>8</v>
      </c>
      <c r="F84">
        <v>7</v>
      </c>
      <c r="G84">
        <v>8</v>
      </c>
      <c r="H84">
        <f>IF(F84 = D84, 1, 0)</f>
        <v>0</v>
      </c>
      <c r="I84">
        <f>IF(G84 = E84, 1, 0)</f>
        <v>1</v>
      </c>
      <c r="J84">
        <f>IF(AND(F84 = D84, G84 = E84), 1, 0)</f>
        <v>0</v>
      </c>
    </row>
    <row r="85" spans="1:10" x14ac:dyDescent="0.25">
      <c r="A85">
        <v>5</v>
      </c>
      <c r="B85">
        <v>5</v>
      </c>
      <c r="C85">
        <v>10</v>
      </c>
      <c r="D85">
        <v>2</v>
      </c>
      <c r="E85">
        <v>5</v>
      </c>
      <c r="F85">
        <v>5</v>
      </c>
      <c r="G85">
        <v>9</v>
      </c>
      <c r="H85">
        <f>IF(F85 = D85, 1, 0)</f>
        <v>0</v>
      </c>
      <c r="I85">
        <f>IF(G85 = E85, 1, 0)</f>
        <v>0</v>
      </c>
      <c r="J85">
        <f>IF(AND(F85 = D85, G85 = E85), 1, 0)</f>
        <v>0</v>
      </c>
    </row>
    <row r="86" spans="1:10" x14ac:dyDescent="0.25">
      <c r="A86">
        <v>5</v>
      </c>
      <c r="B86">
        <v>4</v>
      </c>
      <c r="C86">
        <v>9</v>
      </c>
      <c r="D86">
        <v>8</v>
      </c>
      <c r="E86">
        <v>8</v>
      </c>
      <c r="F86">
        <v>8</v>
      </c>
      <c r="G86">
        <v>9</v>
      </c>
      <c r="H86">
        <f>IF(F86 = D86, 1, 0)</f>
        <v>1</v>
      </c>
      <c r="I86">
        <f>IF(G86 = E86, 1, 0)</f>
        <v>0</v>
      </c>
      <c r="J86">
        <f>IF(AND(F86 = D86, G86 = E86), 1, 0)</f>
        <v>0</v>
      </c>
    </row>
    <row r="87" spans="1:10" x14ac:dyDescent="0.25">
      <c r="A87">
        <v>5</v>
      </c>
      <c r="B87">
        <v>5</v>
      </c>
      <c r="C87">
        <v>10</v>
      </c>
      <c r="D87">
        <v>6</v>
      </c>
      <c r="E87">
        <v>1</v>
      </c>
      <c r="F87">
        <v>6</v>
      </c>
      <c r="G87">
        <v>1</v>
      </c>
      <c r="H87">
        <f>IF(F87 = D87, 1, 0)</f>
        <v>1</v>
      </c>
      <c r="I87">
        <f>IF(G87 = E87, 1, 0)</f>
        <v>1</v>
      </c>
      <c r="J87">
        <f>IF(AND(F87 = D87, G87 = E87), 1, 0)</f>
        <v>1</v>
      </c>
    </row>
    <row r="88" spans="1:10" x14ac:dyDescent="0.25">
      <c r="A88">
        <v>5</v>
      </c>
      <c r="B88">
        <v>4</v>
      </c>
      <c r="C88">
        <v>9</v>
      </c>
      <c r="D88">
        <v>2</v>
      </c>
      <c r="E88">
        <v>5</v>
      </c>
      <c r="F88">
        <v>2</v>
      </c>
      <c r="G88">
        <v>5</v>
      </c>
      <c r="H88">
        <f>IF(F88 = D88, 1, 0)</f>
        <v>1</v>
      </c>
      <c r="I88">
        <f>IF(G88 = E88, 1, 0)</f>
        <v>1</v>
      </c>
      <c r="J88">
        <f>IF(AND(F88 = D88, G88 = E88), 1, 0)</f>
        <v>1</v>
      </c>
    </row>
    <row r="89" spans="1:10" x14ac:dyDescent="0.25">
      <c r="A89">
        <v>5</v>
      </c>
      <c r="B89">
        <v>5</v>
      </c>
      <c r="C89">
        <v>10</v>
      </c>
      <c r="D89">
        <v>7</v>
      </c>
      <c r="E89">
        <v>5</v>
      </c>
      <c r="F89">
        <v>7</v>
      </c>
      <c r="G89">
        <v>5</v>
      </c>
      <c r="H89">
        <f>IF(F89 = D89, 1, 0)</f>
        <v>1</v>
      </c>
      <c r="I89">
        <f>IF(G89 = E89, 1, 0)</f>
        <v>1</v>
      </c>
      <c r="J89">
        <f>IF(AND(F89 = D89, G89 = E89), 1, 0)</f>
        <v>1</v>
      </c>
    </row>
    <row r="90" spans="1:10" x14ac:dyDescent="0.25">
      <c r="A90">
        <v>5</v>
      </c>
      <c r="B90">
        <v>4</v>
      </c>
      <c r="C90">
        <v>9</v>
      </c>
      <c r="D90">
        <v>5</v>
      </c>
      <c r="E90">
        <v>1</v>
      </c>
      <c r="F90">
        <v>5</v>
      </c>
      <c r="G90">
        <v>1</v>
      </c>
      <c r="H90">
        <f>IF(F90 = D90, 1, 0)</f>
        <v>1</v>
      </c>
      <c r="I90">
        <f>IF(G90 = E90, 1, 0)</f>
        <v>1</v>
      </c>
      <c r="J90">
        <f>IF(AND(F90 = D90, G90 = E90), 1, 0)</f>
        <v>1</v>
      </c>
    </row>
    <row r="91" spans="1:10" x14ac:dyDescent="0.25">
      <c r="A91">
        <v>5</v>
      </c>
      <c r="B91">
        <v>5</v>
      </c>
      <c r="C91">
        <v>10</v>
      </c>
      <c r="D91">
        <v>2</v>
      </c>
      <c r="E91">
        <v>1</v>
      </c>
      <c r="F91">
        <v>2</v>
      </c>
      <c r="G91">
        <v>1</v>
      </c>
      <c r="H91">
        <f>IF(F91 = D91, 1, 0)</f>
        <v>1</v>
      </c>
      <c r="I91">
        <f>IF(G91 = E91, 1, 0)</f>
        <v>1</v>
      </c>
      <c r="J91">
        <f>IF(AND(F91 = D91, G91 = E91), 1, 0)</f>
        <v>1</v>
      </c>
    </row>
    <row r="92" spans="1:10" x14ac:dyDescent="0.25">
      <c r="A92">
        <v>5</v>
      </c>
      <c r="B92">
        <v>4</v>
      </c>
      <c r="C92">
        <v>9</v>
      </c>
      <c r="D92">
        <v>9</v>
      </c>
      <c r="E92">
        <v>1</v>
      </c>
      <c r="F92">
        <v>8</v>
      </c>
      <c r="G92">
        <v>1</v>
      </c>
      <c r="H92">
        <f>IF(F92 = D92, 1, 0)</f>
        <v>0</v>
      </c>
      <c r="I92">
        <f>IF(G92 = E92, 1, 0)</f>
        <v>1</v>
      </c>
      <c r="J92">
        <f>IF(AND(F92 = D92, G92 = E92), 1, 0)</f>
        <v>0</v>
      </c>
    </row>
    <row r="93" spans="1:10" x14ac:dyDescent="0.25">
      <c r="A93">
        <v>5</v>
      </c>
      <c r="B93">
        <v>5</v>
      </c>
      <c r="C93">
        <v>10</v>
      </c>
      <c r="D93">
        <v>9</v>
      </c>
      <c r="E93">
        <v>1</v>
      </c>
      <c r="F93">
        <v>9</v>
      </c>
      <c r="G93">
        <v>1</v>
      </c>
      <c r="H93">
        <f>IF(F93 = D93, 1, 0)</f>
        <v>1</v>
      </c>
      <c r="I93">
        <f>IF(G93 = E93, 1, 0)</f>
        <v>1</v>
      </c>
      <c r="J93">
        <f>IF(AND(F93 = D93, G93 = E93), 1, 0)</f>
        <v>1</v>
      </c>
    </row>
    <row r="94" spans="1:10" x14ac:dyDescent="0.25">
      <c r="A94">
        <v>5</v>
      </c>
      <c r="B94">
        <v>4</v>
      </c>
      <c r="C94">
        <v>9</v>
      </c>
      <c r="D94">
        <v>6</v>
      </c>
      <c r="E94">
        <v>5</v>
      </c>
      <c r="F94">
        <v>6</v>
      </c>
      <c r="G94">
        <v>5</v>
      </c>
      <c r="H94">
        <f>IF(F94 = D94, 1, 0)</f>
        <v>1</v>
      </c>
      <c r="I94">
        <f>IF(G94 = E94, 1, 0)</f>
        <v>1</v>
      </c>
      <c r="J94">
        <f>IF(AND(F94 = D94, G94 = E94), 1, 0)</f>
        <v>1</v>
      </c>
    </row>
    <row r="95" spans="1:10" x14ac:dyDescent="0.25">
      <c r="A95">
        <v>5</v>
      </c>
      <c r="B95">
        <v>5</v>
      </c>
      <c r="C95">
        <v>10</v>
      </c>
      <c r="D95">
        <v>6</v>
      </c>
      <c r="E95">
        <v>6</v>
      </c>
      <c r="F95">
        <v>6</v>
      </c>
      <c r="G95">
        <v>6</v>
      </c>
      <c r="H95">
        <f>IF(F95 = D95, 1, 0)</f>
        <v>1</v>
      </c>
      <c r="I95">
        <f>IF(G95 = E95, 1, 0)</f>
        <v>1</v>
      </c>
      <c r="J95">
        <f>IF(AND(F95 = D95, G95 = E95), 1, 0)</f>
        <v>1</v>
      </c>
    </row>
    <row r="96" spans="1:10" x14ac:dyDescent="0.25">
      <c r="A96">
        <v>5</v>
      </c>
      <c r="B96">
        <v>4</v>
      </c>
      <c r="C96">
        <v>9</v>
      </c>
      <c r="D96">
        <v>9</v>
      </c>
      <c r="E96">
        <v>3</v>
      </c>
      <c r="F96">
        <v>9</v>
      </c>
      <c r="G96">
        <v>3</v>
      </c>
      <c r="H96">
        <f>IF(F96 = D96, 1, 0)</f>
        <v>1</v>
      </c>
      <c r="I96">
        <f>IF(G96 = E96, 1, 0)</f>
        <v>1</v>
      </c>
      <c r="J96">
        <f>IF(AND(F96 = D96, G96 = E96), 1, 0)</f>
        <v>1</v>
      </c>
    </row>
    <row r="97" spans="1:10" x14ac:dyDescent="0.25">
      <c r="A97">
        <v>5</v>
      </c>
      <c r="B97">
        <v>5</v>
      </c>
      <c r="C97">
        <v>10</v>
      </c>
      <c r="D97">
        <v>5</v>
      </c>
      <c r="E97">
        <v>7</v>
      </c>
      <c r="F97">
        <v>5</v>
      </c>
      <c r="G97">
        <v>7</v>
      </c>
      <c r="H97">
        <f>IF(F97 = D97, 1, 0)</f>
        <v>1</v>
      </c>
      <c r="I97">
        <f>IF(G97 = E97, 1, 0)</f>
        <v>1</v>
      </c>
      <c r="J97">
        <f>IF(AND(F97 = D97, G97 = E97), 1, 0)</f>
        <v>1</v>
      </c>
    </row>
    <row r="98" spans="1:10" x14ac:dyDescent="0.25">
      <c r="A98">
        <v>5</v>
      </c>
      <c r="B98">
        <v>4</v>
      </c>
      <c r="C98">
        <v>9</v>
      </c>
      <c r="D98">
        <v>5</v>
      </c>
      <c r="E98">
        <v>6</v>
      </c>
      <c r="F98">
        <v>5</v>
      </c>
      <c r="G98">
        <v>6</v>
      </c>
      <c r="H98">
        <f>IF(F98 = D98, 1, 0)</f>
        <v>1</v>
      </c>
      <c r="I98">
        <f>IF(G98 = E98, 1, 0)</f>
        <v>1</v>
      </c>
      <c r="J98">
        <f>IF(AND(F98 = D98, G98 = E98), 1, 0)</f>
        <v>1</v>
      </c>
    </row>
    <row r="99" spans="1:10" x14ac:dyDescent="0.25">
      <c r="A99">
        <v>5</v>
      </c>
      <c r="B99">
        <v>5</v>
      </c>
      <c r="C99">
        <v>10</v>
      </c>
      <c r="D99">
        <v>7</v>
      </c>
      <c r="E99">
        <v>1</v>
      </c>
      <c r="F99">
        <v>7</v>
      </c>
      <c r="G99">
        <v>1</v>
      </c>
      <c r="H99">
        <f>IF(F99 = D99, 1, 0)</f>
        <v>1</v>
      </c>
      <c r="I99">
        <f>IF(G99 = E99, 1, 0)</f>
        <v>1</v>
      </c>
      <c r="J99">
        <f>IF(AND(F99 = D99, G99 = E99), 1, 0)</f>
        <v>1</v>
      </c>
    </row>
    <row r="100" spans="1:10" x14ac:dyDescent="0.25">
      <c r="A100">
        <v>5</v>
      </c>
      <c r="B100">
        <v>4</v>
      </c>
      <c r="C100">
        <v>9</v>
      </c>
      <c r="D100">
        <v>9</v>
      </c>
      <c r="E100">
        <v>3</v>
      </c>
      <c r="F100">
        <v>9</v>
      </c>
      <c r="G100">
        <v>3</v>
      </c>
      <c r="H100">
        <f>IF(F100 = D100, 1, 0)</f>
        <v>1</v>
      </c>
      <c r="I100">
        <f>IF(G100 = E100, 1, 0)</f>
        <v>1</v>
      </c>
      <c r="J100">
        <f>IF(AND(F100 = D100, G100 = E100), 1, 0)</f>
        <v>1</v>
      </c>
    </row>
    <row r="101" spans="1:10" x14ac:dyDescent="0.25">
      <c r="A101">
        <v>5</v>
      </c>
      <c r="B101">
        <v>5</v>
      </c>
      <c r="C101">
        <v>10</v>
      </c>
      <c r="D101">
        <v>2</v>
      </c>
      <c r="E101">
        <v>9</v>
      </c>
      <c r="F101">
        <v>2</v>
      </c>
      <c r="G101">
        <v>9</v>
      </c>
      <c r="H101">
        <f>IF(F101 = D101, 1, 0)</f>
        <v>1</v>
      </c>
      <c r="I101">
        <f>IF(G101 = E101, 1, 0)</f>
        <v>1</v>
      </c>
      <c r="J101">
        <f>IF(AND(F101 = D101, G101 = E101), 1, 0)</f>
        <v>1</v>
      </c>
    </row>
    <row r="102" spans="1:10" x14ac:dyDescent="0.25">
      <c r="A102">
        <v>5</v>
      </c>
      <c r="B102">
        <v>4</v>
      </c>
      <c r="C102">
        <v>9</v>
      </c>
      <c r="D102">
        <v>7</v>
      </c>
      <c r="E102">
        <v>7</v>
      </c>
      <c r="F102">
        <v>7</v>
      </c>
      <c r="G102">
        <v>8</v>
      </c>
      <c r="H102">
        <f>IF(F102 = D102, 1, 0)</f>
        <v>1</v>
      </c>
      <c r="I102">
        <f>IF(G102 = E102, 1, 0)</f>
        <v>0</v>
      </c>
      <c r="J102">
        <f>IF(AND(F102 = D102, G102 = E102), 1, 0)</f>
        <v>0</v>
      </c>
    </row>
    <row r="103" spans="1:10" x14ac:dyDescent="0.25">
      <c r="A103">
        <v>5</v>
      </c>
      <c r="B103">
        <v>5</v>
      </c>
      <c r="C103">
        <v>10</v>
      </c>
      <c r="D103">
        <v>9</v>
      </c>
      <c r="E103">
        <v>7</v>
      </c>
      <c r="F103">
        <v>9</v>
      </c>
      <c r="G103">
        <v>7</v>
      </c>
      <c r="H103">
        <f>IF(F103 = D103, 1, 0)</f>
        <v>1</v>
      </c>
      <c r="I103">
        <f>IF(G103 = E103, 1, 0)</f>
        <v>1</v>
      </c>
      <c r="J103">
        <f>IF(AND(F103 = D103, G103 = E103), 1, 0)</f>
        <v>1</v>
      </c>
    </row>
    <row r="104" spans="1:10" x14ac:dyDescent="0.25">
      <c r="A104">
        <v>5</v>
      </c>
      <c r="B104">
        <v>4</v>
      </c>
      <c r="C104">
        <v>9</v>
      </c>
      <c r="D104">
        <v>4</v>
      </c>
      <c r="E104">
        <v>5</v>
      </c>
      <c r="F104">
        <v>4</v>
      </c>
      <c r="G104">
        <v>5</v>
      </c>
      <c r="H104">
        <f>IF(F104 = D104, 1, 0)</f>
        <v>1</v>
      </c>
      <c r="I104">
        <f>IF(G104 = E104, 1, 0)</f>
        <v>1</v>
      </c>
      <c r="J104">
        <f>IF(AND(F104 = D104, G104 = E104), 1, 0)</f>
        <v>1</v>
      </c>
    </row>
    <row r="105" spans="1:10" x14ac:dyDescent="0.25">
      <c r="A105">
        <v>5</v>
      </c>
      <c r="B105">
        <v>5</v>
      </c>
      <c r="C105">
        <v>10</v>
      </c>
      <c r="D105">
        <v>5</v>
      </c>
      <c r="E105">
        <v>6</v>
      </c>
      <c r="F105">
        <v>5</v>
      </c>
      <c r="G105">
        <v>6</v>
      </c>
      <c r="H105">
        <f>IF(F105 = D105, 1, 0)</f>
        <v>1</v>
      </c>
      <c r="I105">
        <f>IF(G105 = E105, 1, 0)</f>
        <v>1</v>
      </c>
      <c r="J105">
        <f>IF(AND(F105 = D105, G105 = E105), 1, 0)</f>
        <v>1</v>
      </c>
    </row>
    <row r="106" spans="1:10" x14ac:dyDescent="0.25">
      <c r="A106">
        <v>5</v>
      </c>
      <c r="B106">
        <v>4</v>
      </c>
      <c r="C106">
        <v>9</v>
      </c>
      <c r="D106">
        <v>2</v>
      </c>
      <c r="E106">
        <v>7</v>
      </c>
      <c r="F106">
        <v>2</v>
      </c>
      <c r="G106">
        <v>7</v>
      </c>
      <c r="H106">
        <f>IF(F106 = D106, 1, 0)</f>
        <v>1</v>
      </c>
      <c r="I106">
        <f>IF(G106 = E106, 1, 0)</f>
        <v>1</v>
      </c>
      <c r="J106">
        <f>IF(AND(F106 = D106, G106 = E106), 1, 0)</f>
        <v>1</v>
      </c>
    </row>
    <row r="107" spans="1:10" x14ac:dyDescent="0.25">
      <c r="A107">
        <v>5</v>
      </c>
      <c r="B107">
        <v>5</v>
      </c>
      <c r="C107">
        <v>10</v>
      </c>
      <c r="D107">
        <v>7</v>
      </c>
      <c r="E107">
        <v>6</v>
      </c>
      <c r="F107">
        <v>7</v>
      </c>
      <c r="G107">
        <v>6</v>
      </c>
      <c r="H107">
        <f>IF(F107 = D107, 1, 0)</f>
        <v>1</v>
      </c>
      <c r="I107">
        <f>IF(G107 = E107, 1, 0)</f>
        <v>1</v>
      </c>
      <c r="J107">
        <f>IF(AND(F107 = D107, G107 = E107), 1, 0)</f>
        <v>1</v>
      </c>
    </row>
    <row r="108" spans="1:10" x14ac:dyDescent="0.25">
      <c r="A108">
        <v>5</v>
      </c>
      <c r="B108">
        <v>4</v>
      </c>
      <c r="C108">
        <v>9</v>
      </c>
      <c r="D108">
        <v>3</v>
      </c>
      <c r="E108">
        <v>6</v>
      </c>
      <c r="F108">
        <v>3</v>
      </c>
      <c r="G108">
        <v>6</v>
      </c>
      <c r="H108">
        <f>IF(F108 = D108, 1, 0)</f>
        <v>1</v>
      </c>
      <c r="I108">
        <f>IF(G108 = E108, 1, 0)</f>
        <v>1</v>
      </c>
      <c r="J108">
        <f>IF(AND(F108 = D108, G108 = E108), 1, 0)</f>
        <v>1</v>
      </c>
    </row>
    <row r="109" spans="1:10" x14ac:dyDescent="0.25">
      <c r="A109">
        <v>5</v>
      </c>
      <c r="B109">
        <v>5</v>
      </c>
      <c r="C109">
        <v>10</v>
      </c>
      <c r="D109">
        <v>1</v>
      </c>
      <c r="E109">
        <v>9</v>
      </c>
      <c r="F109">
        <v>1</v>
      </c>
      <c r="G109">
        <v>9</v>
      </c>
      <c r="H109">
        <f>IF(F109 = D109, 1, 0)</f>
        <v>1</v>
      </c>
      <c r="I109">
        <f>IF(G109 = E109, 1, 0)</f>
        <v>1</v>
      </c>
      <c r="J109">
        <f>IF(AND(F109 = D109, G109 = E109), 1, 0)</f>
        <v>1</v>
      </c>
    </row>
    <row r="110" spans="1:10" x14ac:dyDescent="0.25">
      <c r="A110">
        <v>5</v>
      </c>
      <c r="B110">
        <v>4</v>
      </c>
      <c r="C110">
        <v>9</v>
      </c>
      <c r="D110">
        <v>9</v>
      </c>
      <c r="E110">
        <v>8</v>
      </c>
      <c r="F110">
        <v>9</v>
      </c>
      <c r="G110">
        <v>8</v>
      </c>
      <c r="H110">
        <f>IF(F110 = D110, 1, 0)</f>
        <v>1</v>
      </c>
      <c r="I110">
        <f>IF(G110 = E110, 1, 0)</f>
        <v>1</v>
      </c>
      <c r="J110">
        <f>IF(AND(F110 = D110, G110 = E110), 1, 0)</f>
        <v>1</v>
      </c>
    </row>
    <row r="111" spans="1:10" x14ac:dyDescent="0.25">
      <c r="A111">
        <v>5</v>
      </c>
      <c r="B111">
        <v>5</v>
      </c>
      <c r="C111">
        <v>10</v>
      </c>
      <c r="D111">
        <v>7</v>
      </c>
      <c r="E111">
        <v>4</v>
      </c>
      <c r="F111">
        <v>7</v>
      </c>
      <c r="G111">
        <v>1</v>
      </c>
      <c r="H111">
        <f>IF(F111 = D111, 1, 0)</f>
        <v>1</v>
      </c>
      <c r="I111">
        <f>IF(G111 = E111, 1, 0)</f>
        <v>0</v>
      </c>
      <c r="J111">
        <f>IF(AND(F111 = D111, G111 = E111), 1, 0)</f>
        <v>0</v>
      </c>
    </row>
    <row r="112" spans="1:10" x14ac:dyDescent="0.25">
      <c r="A112">
        <v>5</v>
      </c>
      <c r="B112">
        <v>4</v>
      </c>
      <c r="C112">
        <v>9</v>
      </c>
      <c r="D112">
        <v>5</v>
      </c>
      <c r="E112">
        <v>3</v>
      </c>
      <c r="F112">
        <v>5</v>
      </c>
      <c r="G112">
        <v>3</v>
      </c>
      <c r="H112">
        <f>IF(F112 = D112, 1, 0)</f>
        <v>1</v>
      </c>
      <c r="I112">
        <f>IF(G112 = E112, 1, 0)</f>
        <v>1</v>
      </c>
      <c r="J112">
        <f>IF(AND(F112 = D112, G112 = E112), 1, 0)</f>
        <v>1</v>
      </c>
    </row>
    <row r="113" spans="1:10" x14ac:dyDescent="0.25">
      <c r="A113">
        <v>5</v>
      </c>
      <c r="B113">
        <v>5</v>
      </c>
      <c r="C113">
        <v>10</v>
      </c>
      <c r="D113">
        <v>8</v>
      </c>
      <c r="E113">
        <v>6</v>
      </c>
      <c r="F113">
        <v>7</v>
      </c>
      <c r="G113">
        <v>6</v>
      </c>
      <c r="H113">
        <f>IF(F113 = D113, 1, 0)</f>
        <v>0</v>
      </c>
      <c r="I113">
        <f>IF(G113 = E113, 1, 0)</f>
        <v>1</v>
      </c>
      <c r="J113">
        <f>IF(AND(F113 = D113, G113 = E113), 1, 0)</f>
        <v>0</v>
      </c>
    </row>
    <row r="114" spans="1:10" x14ac:dyDescent="0.25">
      <c r="A114">
        <v>5</v>
      </c>
      <c r="B114">
        <v>4</v>
      </c>
      <c r="C114">
        <v>9</v>
      </c>
      <c r="D114">
        <v>6</v>
      </c>
      <c r="E114">
        <v>8</v>
      </c>
      <c r="F114">
        <v>6</v>
      </c>
      <c r="G114">
        <v>8</v>
      </c>
      <c r="H114">
        <f>IF(F114 = D114, 1, 0)</f>
        <v>1</v>
      </c>
      <c r="I114">
        <f>IF(G114 = E114, 1, 0)</f>
        <v>1</v>
      </c>
      <c r="J114">
        <f>IF(AND(F114 = D114, G114 = E114), 1, 0)</f>
        <v>1</v>
      </c>
    </row>
    <row r="115" spans="1:10" x14ac:dyDescent="0.25">
      <c r="A115">
        <v>5</v>
      </c>
      <c r="B115">
        <v>5</v>
      </c>
      <c r="C115">
        <v>10</v>
      </c>
      <c r="D115">
        <v>3</v>
      </c>
      <c r="E115">
        <v>3</v>
      </c>
      <c r="F115">
        <v>3</v>
      </c>
      <c r="G115">
        <v>5</v>
      </c>
      <c r="H115">
        <f>IF(F115 = D115, 1, 0)</f>
        <v>1</v>
      </c>
      <c r="I115">
        <f>IF(G115 = E115, 1, 0)</f>
        <v>0</v>
      </c>
      <c r="J115">
        <f>IF(AND(F115 = D115, G115 = E115), 1, 0)</f>
        <v>0</v>
      </c>
    </row>
    <row r="116" spans="1:10" x14ac:dyDescent="0.25">
      <c r="A116">
        <v>5</v>
      </c>
      <c r="B116">
        <v>4</v>
      </c>
      <c r="C116">
        <v>9</v>
      </c>
      <c r="D116">
        <v>5</v>
      </c>
      <c r="E116">
        <v>9</v>
      </c>
      <c r="F116">
        <v>5</v>
      </c>
      <c r="G116">
        <v>9</v>
      </c>
      <c r="H116">
        <f>IF(F116 = D116, 1, 0)</f>
        <v>1</v>
      </c>
      <c r="I116">
        <f>IF(G116 = E116, 1, 0)</f>
        <v>1</v>
      </c>
      <c r="J116">
        <f>IF(AND(F116 = D116, G116 = E116), 1, 0)</f>
        <v>1</v>
      </c>
    </row>
    <row r="117" spans="1:10" x14ac:dyDescent="0.25">
      <c r="A117">
        <v>5</v>
      </c>
      <c r="B117">
        <v>5</v>
      </c>
      <c r="C117">
        <v>10</v>
      </c>
      <c r="D117">
        <v>1</v>
      </c>
      <c r="E117">
        <v>1</v>
      </c>
      <c r="F117">
        <v>1</v>
      </c>
      <c r="G117">
        <v>7</v>
      </c>
      <c r="H117">
        <f>IF(F117 = D117, 1, 0)</f>
        <v>1</v>
      </c>
      <c r="I117">
        <f>IF(G117 = E117, 1, 0)</f>
        <v>0</v>
      </c>
      <c r="J117">
        <f>IF(AND(F117 = D117, G117 = E117), 1, 0)</f>
        <v>0</v>
      </c>
    </row>
    <row r="118" spans="1:10" x14ac:dyDescent="0.25">
      <c r="A118">
        <v>5</v>
      </c>
      <c r="B118">
        <v>4</v>
      </c>
      <c r="C118">
        <v>9</v>
      </c>
      <c r="D118">
        <v>1</v>
      </c>
      <c r="E118">
        <v>3</v>
      </c>
      <c r="F118">
        <v>1</v>
      </c>
      <c r="G118">
        <v>3</v>
      </c>
      <c r="H118">
        <f>IF(F118 = D118, 1, 0)</f>
        <v>1</v>
      </c>
      <c r="I118">
        <f>IF(G118 = E118, 1, 0)</f>
        <v>1</v>
      </c>
      <c r="J118">
        <f>IF(AND(F118 = D118, G118 = E118), 1, 0)</f>
        <v>1</v>
      </c>
    </row>
    <row r="119" spans="1:10" x14ac:dyDescent="0.25">
      <c r="A119">
        <v>5</v>
      </c>
      <c r="B119">
        <v>5</v>
      </c>
      <c r="C119">
        <v>10</v>
      </c>
      <c r="D119">
        <v>6</v>
      </c>
      <c r="E119">
        <v>8</v>
      </c>
      <c r="F119">
        <v>6</v>
      </c>
      <c r="G119">
        <v>7</v>
      </c>
      <c r="H119">
        <f>IF(F119 = D119, 1, 0)</f>
        <v>1</v>
      </c>
      <c r="I119">
        <f>IF(G119 = E119, 1, 0)</f>
        <v>0</v>
      </c>
      <c r="J119">
        <f>IF(AND(F119 = D119, G119 = E119), 1, 0)</f>
        <v>0</v>
      </c>
    </row>
    <row r="120" spans="1:10" x14ac:dyDescent="0.25">
      <c r="A120">
        <v>5</v>
      </c>
      <c r="B120">
        <v>4</v>
      </c>
      <c r="C120">
        <v>9</v>
      </c>
      <c r="D120">
        <v>1</v>
      </c>
      <c r="E120">
        <v>1</v>
      </c>
      <c r="F120">
        <v>1</v>
      </c>
      <c r="G120">
        <v>1</v>
      </c>
      <c r="H120">
        <f>IF(F120 = D120, 1, 0)</f>
        <v>1</v>
      </c>
      <c r="I120">
        <f>IF(G120 = E120, 1, 0)</f>
        <v>1</v>
      </c>
      <c r="J120">
        <f>IF(AND(F120 = D120, G120 = E120), 1, 0)</f>
        <v>1</v>
      </c>
    </row>
    <row r="121" spans="1:10" x14ac:dyDescent="0.25">
      <c r="A121">
        <v>5</v>
      </c>
      <c r="B121">
        <v>5</v>
      </c>
      <c r="C121">
        <v>10</v>
      </c>
      <c r="D121">
        <v>7</v>
      </c>
      <c r="E121">
        <v>5</v>
      </c>
      <c r="F121">
        <v>7</v>
      </c>
      <c r="G121">
        <v>9</v>
      </c>
      <c r="H121">
        <f>IF(F121 = D121, 1, 0)</f>
        <v>1</v>
      </c>
      <c r="I121">
        <f>IF(G121 = E121, 1, 0)</f>
        <v>0</v>
      </c>
      <c r="J121">
        <f>IF(AND(F121 = D121, G121 = E121), 1, 0)</f>
        <v>0</v>
      </c>
    </row>
    <row r="122" spans="1:10" x14ac:dyDescent="0.25">
      <c r="A122">
        <v>8</v>
      </c>
      <c r="B122">
        <v>4</v>
      </c>
      <c r="C122">
        <v>12</v>
      </c>
      <c r="D122">
        <v>9</v>
      </c>
      <c r="E122">
        <v>2</v>
      </c>
      <c r="F122">
        <v>9</v>
      </c>
      <c r="G122">
        <v>2</v>
      </c>
      <c r="H122">
        <f>IF(F122 = D122, 1, 0)</f>
        <v>1</v>
      </c>
      <c r="I122">
        <f>IF(G122 = E122, 1, 0)</f>
        <v>1</v>
      </c>
      <c r="J122">
        <f>IF(AND(F122 = D122, G122 = E122), 1, 0)</f>
        <v>1</v>
      </c>
    </row>
    <row r="123" spans="1:10" x14ac:dyDescent="0.25">
      <c r="A123">
        <v>8</v>
      </c>
      <c r="B123">
        <v>5</v>
      </c>
      <c r="C123">
        <v>13</v>
      </c>
      <c r="D123">
        <v>2</v>
      </c>
      <c r="E123">
        <v>6</v>
      </c>
      <c r="F123">
        <v>2</v>
      </c>
      <c r="G123">
        <v>6</v>
      </c>
      <c r="H123">
        <f>IF(F123 = D123, 1, 0)</f>
        <v>1</v>
      </c>
      <c r="I123">
        <f>IF(G123 = E123, 1, 0)</f>
        <v>1</v>
      </c>
      <c r="J123">
        <f>IF(AND(F123 = D123, G123 = E123), 1, 0)</f>
        <v>1</v>
      </c>
    </row>
    <row r="124" spans="1:10" x14ac:dyDescent="0.25">
      <c r="A124">
        <v>8</v>
      </c>
      <c r="B124">
        <v>4</v>
      </c>
      <c r="C124">
        <v>12</v>
      </c>
      <c r="D124">
        <v>5</v>
      </c>
      <c r="E124">
        <v>5</v>
      </c>
      <c r="F124">
        <v>2</v>
      </c>
      <c r="G124">
        <v>5</v>
      </c>
      <c r="H124">
        <f>IF(F124 = D124, 1, 0)</f>
        <v>0</v>
      </c>
      <c r="I124">
        <f>IF(G124 = E124, 1, 0)</f>
        <v>1</v>
      </c>
      <c r="J124">
        <f>IF(AND(F124 = D124, G124 = E124), 1, 0)</f>
        <v>0</v>
      </c>
    </row>
    <row r="125" spans="1:10" x14ac:dyDescent="0.25">
      <c r="A125">
        <v>8</v>
      </c>
      <c r="B125">
        <v>5</v>
      </c>
      <c r="C125">
        <v>13</v>
      </c>
      <c r="D125">
        <v>1</v>
      </c>
      <c r="E125">
        <v>6</v>
      </c>
      <c r="F125">
        <v>1</v>
      </c>
      <c r="G125">
        <v>6</v>
      </c>
      <c r="H125">
        <f>IF(F125 = D125, 1, 0)</f>
        <v>1</v>
      </c>
      <c r="I125">
        <f>IF(G125 = E125, 1, 0)</f>
        <v>1</v>
      </c>
      <c r="J125">
        <f>IF(AND(F125 = D125, G125 = E125), 1, 0)</f>
        <v>1</v>
      </c>
    </row>
    <row r="126" spans="1:10" x14ac:dyDescent="0.25">
      <c r="A126">
        <v>8</v>
      </c>
      <c r="B126">
        <v>4</v>
      </c>
      <c r="C126">
        <v>12</v>
      </c>
      <c r="D126">
        <v>1</v>
      </c>
      <c r="E126">
        <v>1</v>
      </c>
      <c r="F126">
        <v>1</v>
      </c>
      <c r="G126">
        <v>1</v>
      </c>
      <c r="H126">
        <f>IF(F126 = D126, 1, 0)</f>
        <v>1</v>
      </c>
      <c r="I126">
        <f>IF(G126 = E126, 1, 0)</f>
        <v>1</v>
      </c>
      <c r="J126">
        <f>IF(AND(F126 = D126, G126 = E126), 1, 0)</f>
        <v>1</v>
      </c>
    </row>
    <row r="127" spans="1:10" x14ac:dyDescent="0.25">
      <c r="A127">
        <v>8</v>
      </c>
      <c r="B127">
        <v>5</v>
      </c>
      <c r="C127">
        <v>13</v>
      </c>
      <c r="D127">
        <v>8</v>
      </c>
      <c r="E127">
        <v>6</v>
      </c>
      <c r="F127">
        <v>8</v>
      </c>
      <c r="G127">
        <v>6</v>
      </c>
      <c r="H127">
        <f>IF(F127 = D127, 1, 0)</f>
        <v>1</v>
      </c>
      <c r="I127">
        <f>IF(G127 = E127, 1, 0)</f>
        <v>1</v>
      </c>
      <c r="J127">
        <f>IF(AND(F127 = D127, G127 = E127), 1, 0)</f>
        <v>1</v>
      </c>
    </row>
    <row r="128" spans="1:10" x14ac:dyDescent="0.25">
      <c r="A128">
        <v>8</v>
      </c>
      <c r="B128">
        <v>4</v>
      </c>
      <c r="C128">
        <v>12</v>
      </c>
      <c r="D128">
        <v>4</v>
      </c>
      <c r="E128">
        <v>6</v>
      </c>
      <c r="F128">
        <v>7</v>
      </c>
      <c r="G128">
        <v>6</v>
      </c>
      <c r="H128">
        <f>IF(F128 = D128, 1, 0)</f>
        <v>0</v>
      </c>
      <c r="I128">
        <f>IF(G128 = E128, 1, 0)</f>
        <v>1</v>
      </c>
      <c r="J128">
        <f>IF(AND(F128 = D128, G128 = E128), 1, 0)</f>
        <v>0</v>
      </c>
    </row>
    <row r="129" spans="1:10" x14ac:dyDescent="0.25">
      <c r="A129">
        <v>8</v>
      </c>
      <c r="B129">
        <v>5</v>
      </c>
      <c r="C129">
        <v>13</v>
      </c>
      <c r="D129">
        <v>2</v>
      </c>
      <c r="E129">
        <v>5</v>
      </c>
      <c r="F129">
        <v>2</v>
      </c>
      <c r="G129">
        <v>5</v>
      </c>
      <c r="H129">
        <f>IF(F129 = D129, 1, 0)</f>
        <v>1</v>
      </c>
      <c r="I129">
        <f>IF(G129 = E129, 1, 0)</f>
        <v>1</v>
      </c>
      <c r="J129">
        <f>IF(AND(F129 = D129, G129 = E129), 1, 0)</f>
        <v>1</v>
      </c>
    </row>
    <row r="130" spans="1:10" x14ac:dyDescent="0.25">
      <c r="A130">
        <v>8</v>
      </c>
      <c r="B130">
        <v>4</v>
      </c>
      <c r="C130">
        <v>12</v>
      </c>
      <c r="D130">
        <v>4</v>
      </c>
      <c r="E130">
        <v>8</v>
      </c>
      <c r="F130">
        <v>4</v>
      </c>
      <c r="G130">
        <v>8</v>
      </c>
      <c r="H130">
        <f>IF(F130 = D130, 1, 0)</f>
        <v>1</v>
      </c>
      <c r="I130">
        <f>IF(G130 = E130, 1, 0)</f>
        <v>1</v>
      </c>
      <c r="J130">
        <f>IF(AND(F130 = D130, G130 = E130), 1, 0)</f>
        <v>1</v>
      </c>
    </row>
    <row r="131" spans="1:10" x14ac:dyDescent="0.25">
      <c r="A131">
        <v>8</v>
      </c>
      <c r="B131">
        <v>5</v>
      </c>
      <c r="C131">
        <v>13</v>
      </c>
      <c r="D131">
        <v>5</v>
      </c>
      <c r="E131">
        <v>3</v>
      </c>
      <c r="F131">
        <v>6</v>
      </c>
      <c r="G131">
        <v>3</v>
      </c>
      <c r="H131">
        <f>IF(F131 = D131, 1, 0)</f>
        <v>0</v>
      </c>
      <c r="I131">
        <f>IF(G131 = E131, 1, 0)</f>
        <v>1</v>
      </c>
      <c r="J131">
        <f>IF(AND(F131 = D131, G131 = E131), 1, 0)</f>
        <v>0</v>
      </c>
    </row>
    <row r="132" spans="1:10" x14ac:dyDescent="0.25">
      <c r="A132">
        <v>8</v>
      </c>
      <c r="B132">
        <v>4</v>
      </c>
      <c r="C132">
        <v>12</v>
      </c>
      <c r="D132">
        <v>6</v>
      </c>
      <c r="E132">
        <v>3</v>
      </c>
      <c r="F132">
        <v>6</v>
      </c>
      <c r="G132">
        <v>3</v>
      </c>
      <c r="H132">
        <f>IF(F132 = D132, 1, 0)</f>
        <v>1</v>
      </c>
      <c r="I132">
        <f>IF(G132 = E132, 1, 0)</f>
        <v>1</v>
      </c>
      <c r="J132">
        <f>IF(AND(F132 = D132, G132 = E132), 1, 0)</f>
        <v>1</v>
      </c>
    </row>
    <row r="133" spans="1:10" x14ac:dyDescent="0.25">
      <c r="A133">
        <v>8</v>
      </c>
      <c r="B133">
        <v>5</v>
      </c>
      <c r="C133">
        <v>13</v>
      </c>
      <c r="D133">
        <v>4</v>
      </c>
      <c r="E133">
        <v>9</v>
      </c>
      <c r="F133">
        <v>4</v>
      </c>
      <c r="G133">
        <v>5</v>
      </c>
      <c r="H133">
        <f>IF(F133 = D133, 1, 0)</f>
        <v>1</v>
      </c>
      <c r="I133">
        <f>IF(G133 = E133, 1, 0)</f>
        <v>0</v>
      </c>
      <c r="J133">
        <f>IF(AND(F133 = D133, G133 = E133), 1, 0)</f>
        <v>0</v>
      </c>
    </row>
    <row r="134" spans="1:10" x14ac:dyDescent="0.25">
      <c r="A134">
        <v>8</v>
      </c>
      <c r="B134">
        <v>4</v>
      </c>
      <c r="C134">
        <v>12</v>
      </c>
      <c r="D134">
        <v>5</v>
      </c>
      <c r="E134">
        <v>6</v>
      </c>
      <c r="F134">
        <v>2</v>
      </c>
      <c r="G134">
        <v>6</v>
      </c>
      <c r="H134">
        <f>IF(F134 = D134, 1, 0)</f>
        <v>0</v>
      </c>
      <c r="I134">
        <f>IF(G134 = E134, 1, 0)</f>
        <v>1</v>
      </c>
      <c r="J134">
        <f>IF(AND(F134 = D134, G134 = E134), 1, 0)</f>
        <v>0</v>
      </c>
    </row>
    <row r="135" spans="1:10" x14ac:dyDescent="0.25">
      <c r="A135">
        <v>8</v>
      </c>
      <c r="B135">
        <v>5</v>
      </c>
      <c r="C135">
        <v>13</v>
      </c>
      <c r="D135">
        <v>8</v>
      </c>
      <c r="E135">
        <v>4</v>
      </c>
      <c r="F135">
        <v>8</v>
      </c>
      <c r="G135">
        <v>4</v>
      </c>
      <c r="H135">
        <f>IF(F135 = D135, 1, 0)</f>
        <v>1</v>
      </c>
      <c r="I135">
        <f>IF(G135 = E135, 1, 0)</f>
        <v>1</v>
      </c>
      <c r="J135">
        <f>IF(AND(F135 = D135, G135 = E135), 1, 0)</f>
        <v>1</v>
      </c>
    </row>
    <row r="136" spans="1:10" x14ac:dyDescent="0.25">
      <c r="A136">
        <v>8</v>
      </c>
      <c r="B136">
        <v>4</v>
      </c>
      <c r="C136">
        <v>12</v>
      </c>
      <c r="D136">
        <v>4</v>
      </c>
      <c r="E136">
        <v>3</v>
      </c>
      <c r="F136">
        <v>4</v>
      </c>
      <c r="G136">
        <v>3</v>
      </c>
      <c r="H136">
        <f>IF(F136 = D136, 1, 0)</f>
        <v>1</v>
      </c>
      <c r="I136">
        <f>IF(G136 = E136, 1, 0)</f>
        <v>1</v>
      </c>
      <c r="J136">
        <f>IF(AND(F136 = D136, G136 = E136), 1, 0)</f>
        <v>1</v>
      </c>
    </row>
    <row r="137" spans="1:10" x14ac:dyDescent="0.25">
      <c r="A137">
        <v>8</v>
      </c>
      <c r="B137">
        <v>5</v>
      </c>
      <c r="C137">
        <v>13</v>
      </c>
      <c r="D137">
        <v>5</v>
      </c>
      <c r="E137">
        <v>6</v>
      </c>
      <c r="F137">
        <v>5</v>
      </c>
      <c r="G137">
        <v>6</v>
      </c>
      <c r="H137">
        <f>IF(F137 = D137, 1, 0)</f>
        <v>1</v>
      </c>
      <c r="I137">
        <f>IF(G137 = E137, 1, 0)</f>
        <v>1</v>
      </c>
      <c r="J137">
        <f>IF(AND(F137 = D137, G137 = E137), 1, 0)</f>
        <v>1</v>
      </c>
    </row>
    <row r="138" spans="1:10" x14ac:dyDescent="0.25">
      <c r="A138">
        <v>8</v>
      </c>
      <c r="B138">
        <v>4</v>
      </c>
      <c r="C138">
        <v>12</v>
      </c>
      <c r="D138">
        <v>5</v>
      </c>
      <c r="E138">
        <v>2</v>
      </c>
      <c r="F138">
        <v>5</v>
      </c>
      <c r="G138">
        <v>2</v>
      </c>
      <c r="H138">
        <f>IF(F138 = D138, 1, 0)</f>
        <v>1</v>
      </c>
      <c r="I138">
        <f>IF(G138 = E138, 1, 0)</f>
        <v>1</v>
      </c>
      <c r="J138">
        <f>IF(AND(F138 = D138, G138 = E138), 1, 0)</f>
        <v>1</v>
      </c>
    </row>
    <row r="139" spans="1:10" x14ac:dyDescent="0.25">
      <c r="A139">
        <v>8</v>
      </c>
      <c r="B139">
        <v>5</v>
      </c>
      <c r="C139">
        <v>13</v>
      </c>
      <c r="D139">
        <v>4</v>
      </c>
      <c r="E139">
        <v>4</v>
      </c>
      <c r="F139">
        <v>4</v>
      </c>
      <c r="G139">
        <v>6</v>
      </c>
      <c r="H139">
        <f>IF(F139 = D139, 1, 0)</f>
        <v>1</v>
      </c>
      <c r="I139">
        <f>IF(G139 = E139, 1, 0)</f>
        <v>0</v>
      </c>
      <c r="J139">
        <f>IF(AND(F139 = D139, G139 = E139), 1, 0)</f>
        <v>0</v>
      </c>
    </row>
    <row r="140" spans="1:10" x14ac:dyDescent="0.25">
      <c r="A140">
        <v>8</v>
      </c>
      <c r="B140">
        <v>4</v>
      </c>
      <c r="C140">
        <v>12</v>
      </c>
      <c r="D140">
        <v>5</v>
      </c>
      <c r="E140">
        <v>7</v>
      </c>
      <c r="F140">
        <v>5</v>
      </c>
      <c r="G140">
        <v>7</v>
      </c>
      <c r="H140">
        <f>IF(F140 = D140, 1, 0)</f>
        <v>1</v>
      </c>
      <c r="I140">
        <f>IF(G140 = E140, 1, 0)</f>
        <v>1</v>
      </c>
      <c r="J140">
        <f>IF(AND(F140 = D140, G140 = E140), 1, 0)</f>
        <v>1</v>
      </c>
    </row>
    <row r="141" spans="1:10" x14ac:dyDescent="0.25">
      <c r="A141">
        <v>8</v>
      </c>
      <c r="B141">
        <v>5</v>
      </c>
      <c r="C141">
        <v>13</v>
      </c>
      <c r="D141">
        <v>9</v>
      </c>
      <c r="E141">
        <v>7</v>
      </c>
      <c r="F141">
        <v>9</v>
      </c>
      <c r="G141">
        <v>7</v>
      </c>
      <c r="H141">
        <f>IF(F141 = D141, 1, 0)</f>
        <v>1</v>
      </c>
      <c r="I141">
        <f>IF(G141 = E141, 1, 0)</f>
        <v>1</v>
      </c>
      <c r="J141">
        <f>IF(AND(F141 = D141, G141 = E141), 1, 0)</f>
        <v>1</v>
      </c>
    </row>
    <row r="142" spans="1:10" x14ac:dyDescent="0.25">
      <c r="A142">
        <v>8</v>
      </c>
      <c r="B142">
        <v>4</v>
      </c>
      <c r="C142">
        <v>12</v>
      </c>
      <c r="D142">
        <v>8</v>
      </c>
      <c r="E142">
        <v>5</v>
      </c>
      <c r="F142">
        <v>8</v>
      </c>
      <c r="G142">
        <v>5</v>
      </c>
      <c r="H142">
        <f>IF(F142 = D142, 1, 0)</f>
        <v>1</v>
      </c>
      <c r="I142">
        <f>IF(G142 = E142, 1, 0)</f>
        <v>1</v>
      </c>
      <c r="J142">
        <f>IF(AND(F142 = D142, G142 = E142), 1, 0)</f>
        <v>1</v>
      </c>
    </row>
    <row r="143" spans="1:10" x14ac:dyDescent="0.25">
      <c r="A143">
        <v>8</v>
      </c>
      <c r="B143">
        <v>5</v>
      </c>
      <c r="C143">
        <v>13</v>
      </c>
      <c r="D143">
        <v>5</v>
      </c>
      <c r="E143">
        <v>3</v>
      </c>
      <c r="F143">
        <v>5</v>
      </c>
      <c r="G143">
        <v>3</v>
      </c>
      <c r="H143">
        <f>IF(F143 = D143, 1, 0)</f>
        <v>1</v>
      </c>
      <c r="I143">
        <f>IF(G143 = E143, 1, 0)</f>
        <v>1</v>
      </c>
      <c r="J143">
        <f>IF(AND(F143 = D143, G143 = E143), 1, 0)</f>
        <v>1</v>
      </c>
    </row>
    <row r="144" spans="1:10" x14ac:dyDescent="0.25">
      <c r="A144">
        <v>8</v>
      </c>
      <c r="B144">
        <v>4</v>
      </c>
      <c r="C144">
        <v>12</v>
      </c>
      <c r="D144">
        <v>9</v>
      </c>
      <c r="E144">
        <v>7</v>
      </c>
      <c r="F144">
        <v>9</v>
      </c>
      <c r="G144">
        <v>7</v>
      </c>
      <c r="H144">
        <f>IF(F144 = D144, 1, 0)</f>
        <v>1</v>
      </c>
      <c r="I144">
        <f>IF(G144 = E144, 1, 0)</f>
        <v>1</v>
      </c>
      <c r="J144">
        <f>IF(AND(F144 = D144, G144 = E144), 1, 0)</f>
        <v>1</v>
      </c>
    </row>
    <row r="145" spans="1:10" x14ac:dyDescent="0.25">
      <c r="A145">
        <v>8</v>
      </c>
      <c r="B145">
        <v>5</v>
      </c>
      <c r="C145">
        <v>13</v>
      </c>
      <c r="D145">
        <v>6</v>
      </c>
      <c r="E145">
        <v>3</v>
      </c>
      <c r="F145">
        <v>6</v>
      </c>
      <c r="G145">
        <v>3</v>
      </c>
      <c r="H145">
        <f>IF(F145 = D145, 1, 0)</f>
        <v>1</v>
      </c>
      <c r="I145">
        <f>IF(G145 = E145, 1, 0)</f>
        <v>1</v>
      </c>
      <c r="J145">
        <f>IF(AND(F145 = D145, G145 = E145), 1, 0)</f>
        <v>1</v>
      </c>
    </row>
    <row r="146" spans="1:10" x14ac:dyDescent="0.25">
      <c r="A146">
        <v>8</v>
      </c>
      <c r="B146">
        <v>4</v>
      </c>
      <c r="C146">
        <v>12</v>
      </c>
      <c r="D146">
        <v>7</v>
      </c>
      <c r="E146">
        <v>7</v>
      </c>
      <c r="F146">
        <v>2</v>
      </c>
      <c r="G146">
        <v>7</v>
      </c>
      <c r="H146">
        <f>IF(F146 = D146, 1, 0)</f>
        <v>0</v>
      </c>
      <c r="I146">
        <f>IF(G146 = E146, 1, 0)</f>
        <v>1</v>
      </c>
      <c r="J146">
        <f>IF(AND(F146 = D146, G146 = E146), 1, 0)</f>
        <v>0</v>
      </c>
    </row>
    <row r="147" spans="1:10" x14ac:dyDescent="0.25">
      <c r="A147">
        <v>8</v>
      </c>
      <c r="B147">
        <v>5</v>
      </c>
      <c r="C147">
        <v>13</v>
      </c>
      <c r="D147">
        <v>7</v>
      </c>
      <c r="E147">
        <v>6</v>
      </c>
      <c r="F147">
        <v>9</v>
      </c>
      <c r="G147">
        <v>6</v>
      </c>
      <c r="H147">
        <f>IF(F147 = D147, 1, 0)</f>
        <v>0</v>
      </c>
      <c r="I147">
        <f>IF(G147 = E147, 1, 0)</f>
        <v>1</v>
      </c>
      <c r="J147">
        <f>IF(AND(F147 = D147, G147 = E147), 1, 0)</f>
        <v>0</v>
      </c>
    </row>
    <row r="148" spans="1:10" x14ac:dyDescent="0.25">
      <c r="A148">
        <v>8</v>
      </c>
      <c r="B148">
        <v>4</v>
      </c>
      <c r="C148">
        <v>12</v>
      </c>
      <c r="D148">
        <v>5</v>
      </c>
      <c r="E148">
        <v>5</v>
      </c>
      <c r="F148">
        <v>5</v>
      </c>
      <c r="G148">
        <v>7</v>
      </c>
      <c r="H148">
        <f>IF(F148 = D148, 1, 0)</f>
        <v>1</v>
      </c>
      <c r="I148">
        <f>IF(G148 = E148, 1, 0)</f>
        <v>0</v>
      </c>
      <c r="J148">
        <f>IF(AND(F148 = D148, G148 = E148), 1, 0)</f>
        <v>0</v>
      </c>
    </row>
    <row r="149" spans="1:10" x14ac:dyDescent="0.25">
      <c r="A149">
        <v>8</v>
      </c>
      <c r="B149">
        <v>5</v>
      </c>
      <c r="C149">
        <v>13</v>
      </c>
      <c r="D149">
        <v>8</v>
      </c>
      <c r="E149">
        <v>4</v>
      </c>
      <c r="F149">
        <v>8</v>
      </c>
      <c r="G149">
        <v>9</v>
      </c>
      <c r="H149">
        <f>IF(F149 = D149, 1, 0)</f>
        <v>1</v>
      </c>
      <c r="I149">
        <f>IF(G149 = E149, 1, 0)</f>
        <v>0</v>
      </c>
      <c r="J149">
        <f>IF(AND(F149 = D149, G149 = E149), 1, 0)</f>
        <v>0</v>
      </c>
    </row>
    <row r="150" spans="1:10" x14ac:dyDescent="0.25">
      <c r="A150">
        <v>8</v>
      </c>
      <c r="B150">
        <v>4</v>
      </c>
      <c r="C150">
        <v>12</v>
      </c>
      <c r="D150">
        <v>3</v>
      </c>
      <c r="E150">
        <v>6</v>
      </c>
      <c r="F150">
        <v>3</v>
      </c>
      <c r="G150">
        <v>6</v>
      </c>
      <c r="H150">
        <f>IF(F150 = D150, 1, 0)</f>
        <v>1</v>
      </c>
      <c r="I150">
        <f>IF(G150 = E150, 1, 0)</f>
        <v>1</v>
      </c>
      <c r="J150">
        <f>IF(AND(F150 = D150, G150 = E150), 1, 0)</f>
        <v>1</v>
      </c>
    </row>
    <row r="151" spans="1:10" x14ac:dyDescent="0.25">
      <c r="A151">
        <v>8</v>
      </c>
      <c r="B151">
        <v>5</v>
      </c>
      <c r="C151">
        <v>13</v>
      </c>
      <c r="D151">
        <v>6</v>
      </c>
      <c r="E151">
        <v>5</v>
      </c>
      <c r="F151">
        <v>6</v>
      </c>
      <c r="G151">
        <v>5</v>
      </c>
      <c r="H151">
        <f>IF(F151 = D151, 1, 0)</f>
        <v>1</v>
      </c>
      <c r="I151">
        <f>IF(G151 = E151, 1, 0)</f>
        <v>1</v>
      </c>
      <c r="J151">
        <f>IF(AND(F151 = D151, G151 = E151), 1, 0)</f>
        <v>1</v>
      </c>
    </row>
    <row r="152" spans="1:10" x14ac:dyDescent="0.25">
      <c r="A152">
        <v>8</v>
      </c>
      <c r="B152">
        <v>4</v>
      </c>
      <c r="C152">
        <v>12</v>
      </c>
      <c r="D152">
        <v>2</v>
      </c>
      <c r="E152">
        <v>1</v>
      </c>
      <c r="F152">
        <v>2</v>
      </c>
      <c r="G152">
        <v>1</v>
      </c>
      <c r="H152">
        <f>IF(F152 = D152, 1, 0)</f>
        <v>1</v>
      </c>
      <c r="I152">
        <f>IF(G152 = E152, 1, 0)</f>
        <v>1</v>
      </c>
      <c r="J152">
        <f>IF(AND(F152 = D152, G152 = E152), 1, 0)</f>
        <v>1</v>
      </c>
    </row>
    <row r="153" spans="1:10" x14ac:dyDescent="0.25">
      <c r="A153">
        <v>8</v>
      </c>
      <c r="B153">
        <v>5</v>
      </c>
      <c r="C153">
        <v>13</v>
      </c>
      <c r="D153">
        <v>3</v>
      </c>
      <c r="E153">
        <v>9</v>
      </c>
      <c r="F153">
        <v>9</v>
      </c>
      <c r="G153">
        <v>3</v>
      </c>
      <c r="H153">
        <f>IF(F153 = D153, 1, 0)</f>
        <v>0</v>
      </c>
      <c r="I153">
        <f>IF(G153 = E153, 1, 0)</f>
        <v>0</v>
      </c>
      <c r="J153">
        <f>IF(AND(F153 = D153, G153 = E153), 1, 0)</f>
        <v>0</v>
      </c>
    </row>
    <row r="154" spans="1:10" x14ac:dyDescent="0.25">
      <c r="A154">
        <v>8</v>
      </c>
      <c r="B154">
        <v>4</v>
      </c>
      <c r="C154">
        <v>12</v>
      </c>
      <c r="D154">
        <v>2</v>
      </c>
      <c r="E154">
        <v>1</v>
      </c>
      <c r="F154">
        <v>2</v>
      </c>
      <c r="G154">
        <v>1</v>
      </c>
      <c r="H154">
        <f>IF(F154 = D154, 1, 0)</f>
        <v>1</v>
      </c>
      <c r="I154">
        <f>IF(G154 = E154, 1, 0)</f>
        <v>1</v>
      </c>
      <c r="J154">
        <f>IF(AND(F154 = D154, G154 = E154), 1, 0)</f>
        <v>1</v>
      </c>
    </row>
    <row r="155" spans="1:10" x14ac:dyDescent="0.25">
      <c r="A155">
        <v>8</v>
      </c>
      <c r="B155">
        <v>5</v>
      </c>
      <c r="C155">
        <v>13</v>
      </c>
      <c r="D155">
        <v>3</v>
      </c>
      <c r="E155">
        <v>9</v>
      </c>
      <c r="F155">
        <v>4</v>
      </c>
      <c r="G155">
        <v>9</v>
      </c>
      <c r="H155">
        <f>IF(F155 = D155, 1, 0)</f>
        <v>0</v>
      </c>
      <c r="I155">
        <f>IF(G155 = E155, 1, 0)</f>
        <v>1</v>
      </c>
      <c r="J155">
        <f>IF(AND(F155 = D155, G155 = E155), 1, 0)</f>
        <v>0</v>
      </c>
    </row>
    <row r="156" spans="1:10" x14ac:dyDescent="0.25">
      <c r="A156">
        <v>8</v>
      </c>
      <c r="B156">
        <v>4</v>
      </c>
      <c r="C156">
        <v>12</v>
      </c>
      <c r="D156">
        <v>2</v>
      </c>
      <c r="E156">
        <v>3</v>
      </c>
      <c r="F156">
        <v>2</v>
      </c>
      <c r="G156">
        <v>3</v>
      </c>
      <c r="H156">
        <f>IF(F156 = D156, 1, 0)</f>
        <v>1</v>
      </c>
      <c r="I156">
        <f>IF(G156 = E156, 1, 0)</f>
        <v>1</v>
      </c>
      <c r="J156">
        <f>IF(AND(F156 = D156, G156 = E156), 1, 0)</f>
        <v>1</v>
      </c>
    </row>
    <row r="157" spans="1:10" x14ac:dyDescent="0.25">
      <c r="A157">
        <v>8</v>
      </c>
      <c r="B157">
        <v>5</v>
      </c>
      <c r="C157">
        <v>13</v>
      </c>
      <c r="D157">
        <v>9</v>
      </c>
      <c r="E157">
        <v>3</v>
      </c>
      <c r="F157">
        <v>9</v>
      </c>
      <c r="G157">
        <v>7</v>
      </c>
      <c r="H157">
        <f>IF(F157 = D157, 1, 0)</f>
        <v>1</v>
      </c>
      <c r="I157">
        <f>IF(G157 = E157, 1, 0)</f>
        <v>0</v>
      </c>
      <c r="J157">
        <f>IF(AND(F157 = D157, G157 = E157), 1, 0)</f>
        <v>0</v>
      </c>
    </row>
    <row r="158" spans="1:10" x14ac:dyDescent="0.25">
      <c r="A158">
        <v>8</v>
      </c>
      <c r="B158">
        <v>4</v>
      </c>
      <c r="C158">
        <v>12</v>
      </c>
      <c r="D158">
        <v>4</v>
      </c>
      <c r="E158">
        <v>3</v>
      </c>
      <c r="F158">
        <v>4</v>
      </c>
      <c r="G158">
        <v>7</v>
      </c>
      <c r="H158">
        <f>IF(F158 = D158, 1, 0)</f>
        <v>1</v>
      </c>
      <c r="I158">
        <f>IF(G158 = E158, 1, 0)</f>
        <v>0</v>
      </c>
      <c r="J158">
        <f>IF(AND(F158 = D158, G158 = E158), 1, 0)</f>
        <v>0</v>
      </c>
    </row>
    <row r="159" spans="1:10" x14ac:dyDescent="0.25">
      <c r="A159">
        <v>8</v>
      </c>
      <c r="B159">
        <v>5</v>
      </c>
      <c r="C159">
        <v>13</v>
      </c>
      <c r="D159">
        <v>4</v>
      </c>
      <c r="E159">
        <v>6</v>
      </c>
      <c r="F159">
        <v>8</v>
      </c>
      <c r="G159">
        <v>7</v>
      </c>
      <c r="H159">
        <f>IF(F159 = D159, 1, 0)</f>
        <v>0</v>
      </c>
      <c r="I159">
        <f>IF(G159 = E159, 1, 0)</f>
        <v>0</v>
      </c>
      <c r="J159">
        <f>IF(AND(F159 = D159, G159 = E159), 1, 0)</f>
        <v>0</v>
      </c>
    </row>
    <row r="160" spans="1:10" x14ac:dyDescent="0.25">
      <c r="A160">
        <v>8</v>
      </c>
      <c r="B160">
        <v>4</v>
      </c>
      <c r="C160">
        <v>12</v>
      </c>
      <c r="D160">
        <v>1</v>
      </c>
      <c r="E160">
        <v>8</v>
      </c>
      <c r="F160">
        <v>1</v>
      </c>
      <c r="G160">
        <v>8</v>
      </c>
      <c r="H160">
        <f>IF(F160 = D160, 1, 0)</f>
        <v>1</v>
      </c>
      <c r="I160">
        <f>IF(G160 = E160, 1, 0)</f>
        <v>1</v>
      </c>
      <c r="J160">
        <f>IF(AND(F160 = D160, G160 = E160), 1, 0)</f>
        <v>1</v>
      </c>
    </row>
    <row r="161" spans="1:10" x14ac:dyDescent="0.25">
      <c r="A161">
        <v>8</v>
      </c>
      <c r="B161">
        <v>5</v>
      </c>
      <c r="C161">
        <v>13</v>
      </c>
      <c r="D161">
        <v>5</v>
      </c>
      <c r="E161">
        <v>8</v>
      </c>
      <c r="F161">
        <v>5</v>
      </c>
      <c r="G161">
        <v>8</v>
      </c>
      <c r="H161">
        <f>IF(F161 = D161, 1, 0)</f>
        <v>1</v>
      </c>
      <c r="I161">
        <f>IF(G161 = E161, 1, 0)</f>
        <v>1</v>
      </c>
      <c r="J161">
        <f>IF(AND(F161 = D161, G161 = E161), 1, 0)</f>
        <v>1</v>
      </c>
    </row>
  </sheetData>
  <sortState xmlns:xlrd2="http://schemas.microsoft.com/office/spreadsheetml/2017/richdata2" ref="A2:J161">
    <sortCondition ref="A1:A1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D774-D08A-46DD-995C-7C414F99B72F}">
  <dimension ref="A3:D8"/>
  <sheetViews>
    <sheetView workbookViewId="0">
      <selection activeCell="C15" sqref="C15"/>
    </sheetView>
  </sheetViews>
  <sheetFormatPr defaultRowHeight="15" x14ac:dyDescent="0.25"/>
  <cols>
    <col min="1" max="1" width="13.140625" bestFit="1" customWidth="1"/>
    <col min="2" max="2" width="29.42578125" bestFit="1" customWidth="1"/>
    <col min="3" max="4" width="20.140625" bestFit="1" customWidth="1"/>
  </cols>
  <sheetData>
    <row r="3" spans="1:4" x14ac:dyDescent="0.25">
      <c r="A3" s="1" t="s">
        <v>14</v>
      </c>
      <c r="B3" t="s">
        <v>13</v>
      </c>
      <c r="C3" t="s">
        <v>11</v>
      </c>
      <c r="D3" t="s">
        <v>12</v>
      </c>
    </row>
    <row r="4" spans="1:4" x14ac:dyDescent="0.25">
      <c r="A4" s="2">
        <v>2</v>
      </c>
      <c r="B4" s="3">
        <v>0.42499999999999999</v>
      </c>
      <c r="C4" s="3">
        <v>0.77500000000000002</v>
      </c>
      <c r="D4" s="3">
        <v>0.47499999999999998</v>
      </c>
    </row>
    <row r="5" spans="1:4" x14ac:dyDescent="0.25">
      <c r="A5" s="2">
        <v>3</v>
      </c>
      <c r="B5" s="3">
        <v>0.52500000000000002</v>
      </c>
      <c r="C5" s="3">
        <v>0.875</v>
      </c>
      <c r="D5" s="3">
        <v>0.57499999999999996</v>
      </c>
    </row>
    <row r="6" spans="1:4" x14ac:dyDescent="0.25">
      <c r="A6" s="2">
        <v>5</v>
      </c>
      <c r="B6" s="3">
        <v>0.72499999999999998</v>
      </c>
      <c r="C6" s="3">
        <v>0.9</v>
      </c>
      <c r="D6" s="3">
        <v>0.8</v>
      </c>
    </row>
    <row r="7" spans="1:4" x14ac:dyDescent="0.25">
      <c r="A7" s="2">
        <v>8</v>
      </c>
      <c r="B7" s="3">
        <v>0.625</v>
      </c>
      <c r="C7" s="3">
        <v>0.77500000000000002</v>
      </c>
      <c r="D7" s="3">
        <v>0.8</v>
      </c>
    </row>
    <row r="8" spans="1:4" x14ac:dyDescent="0.25">
      <c r="A8" s="2" t="s">
        <v>10</v>
      </c>
      <c r="B8" s="3">
        <v>0.57499999999999996</v>
      </c>
      <c r="C8" s="3">
        <v>0.83125000000000004</v>
      </c>
      <c r="D8" s="3">
        <v>0.66249999999999998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E2B1-E1E3-49CB-9DE4-5F9594F17850}">
  <dimension ref="B3:F13"/>
  <sheetViews>
    <sheetView workbookViewId="0">
      <selection activeCell="U7" sqref="U7"/>
    </sheetView>
  </sheetViews>
  <sheetFormatPr defaultRowHeight="15" x14ac:dyDescent="0.25"/>
  <sheetData>
    <row r="3" spans="2:6" x14ac:dyDescent="0.25">
      <c r="B3" t="s">
        <v>14</v>
      </c>
      <c r="C3" t="s">
        <v>13</v>
      </c>
      <c r="D3" t="s">
        <v>11</v>
      </c>
      <c r="E3" t="s">
        <v>12</v>
      </c>
    </row>
    <row r="4" spans="2:6" x14ac:dyDescent="0.25">
      <c r="B4">
        <v>2</v>
      </c>
      <c r="C4" s="3">
        <v>0.42499999999999999</v>
      </c>
      <c r="D4" s="3">
        <v>0.77500000000000002</v>
      </c>
      <c r="E4" s="3">
        <v>0.47499999999999998</v>
      </c>
    </row>
    <row r="5" spans="2:6" x14ac:dyDescent="0.25">
      <c r="B5">
        <v>3</v>
      </c>
      <c r="C5" s="3">
        <v>0.52500000000000002</v>
      </c>
      <c r="D5" s="3">
        <v>0.875</v>
      </c>
      <c r="E5" s="3">
        <v>0.57499999999999996</v>
      </c>
    </row>
    <row r="6" spans="2:6" x14ac:dyDescent="0.25">
      <c r="B6">
        <v>5</v>
      </c>
      <c r="C6" s="3">
        <v>0.72499999999999998</v>
      </c>
      <c r="D6" s="3">
        <v>0.9</v>
      </c>
      <c r="E6" s="3">
        <v>0.8</v>
      </c>
    </row>
    <row r="7" spans="2:6" x14ac:dyDescent="0.25">
      <c r="B7">
        <v>8</v>
      </c>
      <c r="C7" s="3">
        <v>0.625</v>
      </c>
      <c r="D7" s="3">
        <v>0.77500000000000002</v>
      </c>
      <c r="E7" s="3">
        <v>0.8</v>
      </c>
    </row>
    <row r="8" spans="2:6" x14ac:dyDescent="0.25">
      <c r="B8" t="s">
        <v>10</v>
      </c>
      <c r="C8" s="3">
        <v>0.57499999999999996</v>
      </c>
      <c r="D8" s="3">
        <v>0.83125000000000004</v>
      </c>
      <c r="E8" s="3">
        <v>0.66249999999999998</v>
      </c>
    </row>
    <row r="12" spans="2:6" x14ac:dyDescent="0.25">
      <c r="C12" t="s">
        <v>25</v>
      </c>
      <c r="D12" t="s">
        <v>26</v>
      </c>
      <c r="E12" t="s">
        <v>27</v>
      </c>
      <c r="F12" t="s">
        <v>28</v>
      </c>
    </row>
    <row r="13" spans="2:6" x14ac:dyDescent="0.25">
      <c r="B13" t="s">
        <v>24</v>
      </c>
      <c r="C13">
        <v>7.9158231669395188E-2</v>
      </c>
      <c r="D13">
        <v>7.9963934178045329E-2</v>
      </c>
      <c r="E13">
        <v>7.1499506901652743E-2</v>
      </c>
      <c r="F13">
        <v>7.7521709118255289E-2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p1_attentional blink</vt:lpstr>
      <vt:lpstr>table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2025-11-19T02:19:10Z</dcterms:created>
  <dcterms:modified xsi:type="dcterms:W3CDTF">2025-11-20T04:41:10Z</dcterms:modified>
</cp:coreProperties>
</file>